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dhanshu.aggarwal\Downloads\Personal Docs\"/>
    </mc:Choice>
  </mc:AlternateContent>
  <xr:revisionPtr revIDLastSave="0" documentId="8_{723FE1BA-3283-4184-8D46-C69F65549CD1}" xr6:coauthVersionLast="44" xr6:coauthVersionMax="44" xr10:uidLastSave="{00000000-0000-0000-0000-000000000000}"/>
  <bookViews>
    <workbookView xWindow="-110" yWindow="-110" windowWidth="19420" windowHeight="11020" activeTab="2" xr2:uid="{FA6E16BC-03DA-4893-ABB5-AF7672C36647}"/>
  </bookViews>
  <sheets>
    <sheet name="Log Sheet" sheetId="1" r:id="rId1"/>
    <sheet name="Expend Sheet - Online" sheetId="2" r:id="rId2"/>
    <sheet name="Card Sheet" sheetId="4" r:id="rId3"/>
    <sheet name="Expend Sheet - Offlin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77" i="4" l="1"/>
  <c r="R73" i="4"/>
  <c r="R69" i="4"/>
  <c r="R65" i="4"/>
  <c r="R61" i="4"/>
  <c r="R57" i="4"/>
  <c r="R53" i="4"/>
  <c r="R49" i="4"/>
  <c r="R45" i="4"/>
  <c r="R41" i="4"/>
  <c r="R37" i="4"/>
  <c r="R33" i="4"/>
  <c r="R29" i="4"/>
  <c r="R25" i="4"/>
  <c r="R21" i="4"/>
  <c r="R17" i="4"/>
  <c r="R13" i="4"/>
  <c r="R9" i="4"/>
  <c r="R5" i="4"/>
  <c r="Q77" i="4"/>
  <c r="Q73" i="4"/>
  <c r="Q69" i="4"/>
  <c r="Q65" i="4"/>
  <c r="Q61" i="4"/>
  <c r="Q57" i="4"/>
  <c r="Q53" i="4"/>
  <c r="Q49" i="4"/>
  <c r="Q45" i="4"/>
  <c r="Q41" i="4"/>
  <c r="Q37" i="4"/>
  <c r="Q33" i="4"/>
  <c r="Q29" i="4"/>
  <c r="Q25" i="4"/>
  <c r="Q21" i="4"/>
  <c r="Q17" i="4"/>
  <c r="Q13" i="4"/>
  <c r="Q9" i="4"/>
  <c r="Q5" i="4"/>
  <c r="O77" i="4"/>
  <c r="O73" i="4"/>
  <c r="O69" i="4"/>
  <c r="O65" i="4"/>
  <c r="O61" i="4"/>
  <c r="O57" i="4"/>
  <c r="O53" i="4"/>
  <c r="O49" i="4"/>
  <c r="O45" i="4"/>
  <c r="O41" i="4"/>
  <c r="O37" i="4"/>
  <c r="O33" i="4"/>
  <c r="O29" i="4"/>
  <c r="O25" i="4"/>
  <c r="O21" i="4"/>
  <c r="O17" i="4"/>
  <c r="O13" i="4"/>
  <c r="O9" i="4"/>
  <c r="O5" i="4"/>
  <c r="L9" i="4"/>
  <c r="L77" i="4"/>
  <c r="L73" i="4"/>
  <c r="L69" i="4"/>
  <c r="L65" i="4"/>
  <c r="L61" i="4"/>
  <c r="L57" i="4"/>
  <c r="L53" i="4"/>
  <c r="L49" i="4"/>
  <c r="L45" i="4"/>
  <c r="L41" i="4"/>
  <c r="L37" i="4"/>
  <c r="L33" i="4"/>
  <c r="L29" i="4"/>
  <c r="L25" i="4"/>
  <c r="L21" i="4"/>
  <c r="L17" i="4"/>
  <c r="L13" i="4"/>
  <c r="L5" i="4"/>
  <c r="I77" i="4"/>
  <c r="I73" i="4"/>
  <c r="I69" i="4"/>
  <c r="I65" i="4"/>
  <c r="I61" i="4"/>
  <c r="I57" i="4"/>
  <c r="I53" i="4"/>
  <c r="I49" i="4"/>
  <c r="I45" i="4"/>
  <c r="I41" i="4"/>
  <c r="I37" i="4"/>
  <c r="I33" i="4"/>
  <c r="I29" i="4"/>
  <c r="I25" i="4"/>
  <c r="I21" i="4"/>
  <c r="I17" i="4"/>
  <c r="I13" i="4"/>
  <c r="I9" i="4"/>
  <c r="I5" i="4"/>
  <c r="E77" i="4"/>
  <c r="E73" i="4"/>
  <c r="E69" i="4"/>
  <c r="E65" i="4"/>
  <c r="E61" i="4"/>
  <c r="E57" i="4"/>
  <c r="E53" i="4"/>
  <c r="E49" i="4"/>
  <c r="E45" i="4"/>
  <c r="E41" i="4"/>
  <c r="E37" i="4"/>
  <c r="E33" i="4"/>
  <c r="E29" i="4"/>
  <c r="E25" i="4"/>
  <c r="E21" i="4"/>
  <c r="E17" i="4"/>
  <c r="E13" i="4"/>
  <c r="E9" i="4"/>
  <c r="E5" i="4"/>
  <c r="R71" i="1"/>
  <c r="R70" i="1"/>
  <c r="K70" i="1"/>
  <c r="E70" i="1"/>
  <c r="D70" i="1"/>
  <c r="R69" i="1"/>
  <c r="R68" i="1"/>
  <c r="R67" i="1"/>
  <c r="E67" i="1"/>
  <c r="D67" i="1"/>
  <c r="R66" i="1"/>
  <c r="R65" i="1"/>
  <c r="R64" i="1"/>
  <c r="K64" i="1"/>
  <c r="E64" i="1"/>
  <c r="D64" i="1"/>
  <c r="R63" i="1"/>
  <c r="R62" i="1"/>
  <c r="R61" i="1"/>
  <c r="R60" i="1"/>
  <c r="R59" i="1"/>
  <c r="E59" i="1"/>
  <c r="D59" i="1"/>
  <c r="R54" i="1"/>
  <c r="R55" i="1"/>
  <c r="R53" i="1"/>
  <c r="R52" i="1"/>
  <c r="K55" i="1"/>
  <c r="K56" i="1"/>
  <c r="K54" i="1"/>
  <c r="K53" i="1"/>
  <c r="E52" i="1"/>
  <c r="D52" i="1"/>
  <c r="R51" i="1"/>
  <c r="R48" i="1" l="1"/>
  <c r="K48" i="1"/>
  <c r="K47" i="1"/>
  <c r="R47" i="1"/>
  <c r="R46" i="1"/>
  <c r="N44" i="1"/>
  <c r="R44" i="1" s="1"/>
  <c r="R45" i="1"/>
  <c r="E44" i="1"/>
  <c r="D44" i="1"/>
  <c r="R43" i="1"/>
  <c r="R42" i="1"/>
  <c r="R41" i="1"/>
  <c r="R40" i="1"/>
  <c r="R36" i="1"/>
  <c r="K33" i="1"/>
  <c r="K37" i="1"/>
  <c r="K38" i="1"/>
  <c r="K36" i="1"/>
  <c r="K32" i="1"/>
  <c r="E36" i="1"/>
  <c r="D36" i="1"/>
  <c r="R32" i="1"/>
  <c r="K34" i="1"/>
  <c r="E32" i="1"/>
  <c r="D32" i="1"/>
  <c r="R31" i="1"/>
  <c r="R30" i="1"/>
  <c r="E30" i="1"/>
  <c r="D30" i="1"/>
  <c r="K29" i="1"/>
  <c r="R29" i="1"/>
  <c r="R28" i="1"/>
  <c r="R27" i="1"/>
  <c r="K27" i="1"/>
  <c r="E27" i="1"/>
  <c r="D27" i="1"/>
  <c r="R26" i="1" l="1"/>
  <c r="R25" i="1"/>
  <c r="K26" i="1"/>
  <c r="K25" i="1"/>
  <c r="E25" i="1"/>
  <c r="D25" i="1"/>
  <c r="R21" i="1"/>
  <c r="R18" i="1"/>
  <c r="R17" i="1"/>
  <c r="R24" i="1"/>
  <c r="R23" i="1"/>
  <c r="R22" i="1"/>
  <c r="K22" i="1"/>
  <c r="E22" i="1"/>
  <c r="D22" i="1"/>
  <c r="R7" i="1"/>
  <c r="R10" i="1"/>
  <c r="R11" i="1"/>
  <c r="R12" i="1"/>
  <c r="R13" i="1"/>
  <c r="R14" i="1"/>
  <c r="R15" i="1"/>
  <c r="R16" i="1"/>
  <c r="R9" i="1"/>
  <c r="K21" i="1"/>
  <c r="R19" i="1"/>
  <c r="N19" i="1"/>
  <c r="N4" i="1"/>
  <c r="K20" i="1"/>
  <c r="K19" i="1"/>
  <c r="E19" i="1"/>
  <c r="D19" i="1"/>
  <c r="R4" i="1"/>
  <c r="E9" i="1"/>
  <c r="D9" i="1"/>
  <c r="K8" i="1"/>
  <c r="K7" i="1"/>
  <c r="K5" i="1"/>
  <c r="K6" i="1"/>
  <c r="K4" i="1"/>
  <c r="E4" i="1"/>
  <c r="D4" i="1"/>
</calcChain>
</file>

<file path=xl/sharedStrings.xml><?xml version="1.0" encoding="utf-8"?>
<sst xmlns="http://schemas.openxmlformats.org/spreadsheetml/2006/main" count="367" uniqueCount="127">
  <si>
    <t>Card Options</t>
  </si>
  <si>
    <t>Category</t>
  </si>
  <si>
    <t>Money Spent</t>
  </si>
  <si>
    <t>Reward Points</t>
  </si>
  <si>
    <t>Point Value</t>
  </si>
  <si>
    <t>Joining Fees</t>
  </si>
  <si>
    <t>Minimum Spend for Fee Reversal</t>
  </si>
  <si>
    <t>Extra Benefit</t>
  </si>
  <si>
    <t>American Express Charge Card</t>
  </si>
  <si>
    <t>Annual Fees</t>
  </si>
  <si>
    <t>Cashback Value</t>
  </si>
  <si>
    <t>Rewards Point</t>
  </si>
  <si>
    <t>Joining Benefit</t>
  </si>
  <si>
    <t>Points Value</t>
  </si>
  <si>
    <t>PayTM</t>
  </si>
  <si>
    <t>First Year Renewal</t>
  </si>
  <si>
    <t>Membership Card</t>
  </si>
  <si>
    <t>Supplementary Membership Card</t>
  </si>
  <si>
    <t>American Expresss SmartEarn Card</t>
  </si>
  <si>
    <t>Money to be Spent</t>
  </si>
  <si>
    <t>Supplementary Card Bonus</t>
  </si>
  <si>
    <t>Flipkart</t>
  </si>
  <si>
    <t>Uber</t>
  </si>
  <si>
    <t>Amazon</t>
  </si>
  <si>
    <t>Swiggy</t>
  </si>
  <si>
    <t>BookMyShow</t>
  </si>
  <si>
    <t>Reliance Fresh</t>
  </si>
  <si>
    <t>More Market</t>
  </si>
  <si>
    <t>Big Bazaar</t>
  </si>
  <si>
    <t>Myntra</t>
  </si>
  <si>
    <t>Max Reward Points</t>
  </si>
  <si>
    <t>Money Spent by Customer</t>
  </si>
  <si>
    <t>American Express Membership Reward Card</t>
  </si>
  <si>
    <t>Citi Indian Oil Card</t>
  </si>
  <si>
    <t>Fuel</t>
  </si>
  <si>
    <t>Groceries</t>
  </si>
  <si>
    <t>General Spend</t>
  </si>
  <si>
    <t>Citi PayTM First Card</t>
  </si>
  <si>
    <t>PayTM First Membership</t>
  </si>
  <si>
    <t>PayTM Movies</t>
  </si>
  <si>
    <t>Citi Rewards Card</t>
  </si>
  <si>
    <t>Issuing Bank</t>
  </si>
  <si>
    <t>American Express</t>
  </si>
  <si>
    <t>Apparels</t>
  </si>
  <si>
    <t>Citi</t>
  </si>
  <si>
    <t>HDFC MoneyBack Card</t>
  </si>
  <si>
    <t>Spend &gt; 30000 Monthly</t>
  </si>
  <si>
    <t>Spend &gt; 50000 Quaterly</t>
  </si>
  <si>
    <t>Oline Spend</t>
  </si>
  <si>
    <t>HDFC Regalia Credit Card</t>
  </si>
  <si>
    <t>Spend &gt; 500000 Annually</t>
  </si>
  <si>
    <t>Spend &gt; 800000 Anually</t>
  </si>
  <si>
    <t>Airport Lounge</t>
  </si>
  <si>
    <t>HDFC Regalia First Card</t>
  </si>
  <si>
    <t>Spend &gt; 300000 Annually</t>
  </si>
  <si>
    <t>Spend &gt; 500000 Anually</t>
  </si>
  <si>
    <t>HDFC</t>
  </si>
  <si>
    <t>HSBC Plainum Card</t>
  </si>
  <si>
    <t>Genral Spends</t>
  </si>
  <si>
    <t>HSBC</t>
  </si>
  <si>
    <t>ICICI Amazon Pay Card</t>
  </si>
  <si>
    <t>-</t>
  </si>
  <si>
    <t xml:space="preserve">Amazon </t>
  </si>
  <si>
    <t>Amazon Pay Merchants</t>
  </si>
  <si>
    <t>ICICI Coral Card</t>
  </si>
  <si>
    <t>Railway Lounge</t>
  </si>
  <si>
    <t>Movie Tickets</t>
  </si>
  <si>
    <t>ICICI MakeMyTrip Card</t>
  </si>
  <si>
    <t>Flights</t>
  </si>
  <si>
    <t>Spend &gt; 5000</t>
  </si>
  <si>
    <t>Spend &gt; 7500</t>
  </si>
  <si>
    <t>Hotels</t>
  </si>
  <si>
    <t>General Spends</t>
  </si>
  <si>
    <t>ICICI</t>
  </si>
  <si>
    <t>IndusInd Aura Bank</t>
  </si>
  <si>
    <t>IndusInd</t>
  </si>
  <si>
    <t>SBI Elite Card</t>
  </si>
  <si>
    <t>Spend &gt; 400000 Annually</t>
  </si>
  <si>
    <t>BMS Movie Tickets</t>
  </si>
  <si>
    <t>Dining</t>
  </si>
  <si>
    <t>SBI Prime Card</t>
  </si>
  <si>
    <t>Big Basket</t>
  </si>
  <si>
    <t>Birthday Spend</t>
  </si>
  <si>
    <t>Birthday Spends</t>
  </si>
  <si>
    <t>SBI SimplySAVE Card</t>
  </si>
  <si>
    <t>SBI</t>
  </si>
  <si>
    <t>Standard Chartered Platinum Rewards Card</t>
  </si>
  <si>
    <t>Standard Chartered</t>
  </si>
  <si>
    <t>Spend &gt; 360000 Annually</t>
  </si>
  <si>
    <t>Super Market</t>
  </si>
  <si>
    <t>Yes</t>
  </si>
  <si>
    <t>Yes Prosperity Rewards Plus Card</t>
  </si>
  <si>
    <t>Sub - Category</t>
  </si>
  <si>
    <t>Online Grocery</t>
  </si>
  <si>
    <t>Card to be used</t>
  </si>
  <si>
    <t>Look Out</t>
  </si>
  <si>
    <t>Cashback</t>
  </si>
  <si>
    <t>ROI</t>
  </si>
  <si>
    <t>Fee of the Card</t>
  </si>
  <si>
    <t>Online Movie Ticket Booking</t>
  </si>
  <si>
    <t>Online Spend</t>
  </si>
  <si>
    <t>Online Travel</t>
  </si>
  <si>
    <t>Cab</t>
  </si>
  <si>
    <t>Self Drive</t>
  </si>
  <si>
    <t>Grofers</t>
  </si>
  <si>
    <t>Others</t>
  </si>
  <si>
    <t>Ola</t>
  </si>
  <si>
    <t>Make My Trip</t>
  </si>
  <si>
    <t>GoIbibo</t>
  </si>
  <si>
    <t>Ease My Trip</t>
  </si>
  <si>
    <t>Zoom Car</t>
  </si>
  <si>
    <t>DriveZy</t>
  </si>
  <si>
    <t>Revv</t>
  </si>
  <si>
    <t>OYO</t>
  </si>
  <si>
    <t>Booking.com</t>
  </si>
  <si>
    <t>Book My Show</t>
  </si>
  <si>
    <t>Online Recharge</t>
  </si>
  <si>
    <t>Payment Modes</t>
  </si>
  <si>
    <t>Lazy Pay</t>
  </si>
  <si>
    <t>Ola Money</t>
  </si>
  <si>
    <t>Online Food Ordering</t>
  </si>
  <si>
    <t>Zomato</t>
  </si>
  <si>
    <t>Offline Purchase</t>
  </si>
  <si>
    <t>Metrics</t>
  </si>
  <si>
    <t>Reward Points Earned</t>
  </si>
  <si>
    <t>Cashback Earned</t>
  </si>
  <si>
    <t>HSBC Platinum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</si>
</sst>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$-409]* #,##0.00_);_([$$-409]* \(#,##0.00\);_([$$-409]* &quot;-&quot;??_);_(@_)"/>
    <numFmt numFmtId="165" formatCode="_(* #,##0_);_(* \(#,##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85">
    <xf numFmtId="0" fontId="0" fillId="0" borderId="0" xfId="0"/>
    <xf numFmtId="164" fontId="0" fillId="0" borderId="0" xfId="0" applyNumberFormat="1"/>
    <xf numFmtId="165" fontId="0" fillId="0" borderId="0" xfId="1" applyNumberFormat="1" applyFont="1"/>
    <xf numFmtId="0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164" fontId="0" fillId="0" borderId="13" xfId="0" applyNumberFormat="1" applyBorder="1"/>
    <xf numFmtId="164" fontId="0" fillId="0" borderId="11" xfId="0" applyNumberFormat="1" applyBorder="1"/>
    <xf numFmtId="164" fontId="0" fillId="0" borderId="14" xfId="0" applyNumberFormat="1" applyBorder="1"/>
    <xf numFmtId="164" fontId="0" fillId="0" borderId="14" xfId="0" applyNumberFormat="1" applyBorder="1" applyAlignment="1">
      <alignment vertical="center"/>
    </xf>
    <xf numFmtId="164" fontId="0" fillId="0" borderId="12" xfId="0" applyNumberFormat="1" applyBorder="1"/>
    <xf numFmtId="0" fontId="0" fillId="0" borderId="13" xfId="0" applyBorder="1" applyAlignment="1">
      <alignment horizontal="center"/>
    </xf>
    <xf numFmtId="0" fontId="0" fillId="0" borderId="12" xfId="0" applyFill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0" xfId="0" applyNumberFormat="1" applyBorder="1"/>
    <xf numFmtId="0" fontId="0" fillId="0" borderId="8" xfId="0" applyFill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0" fontId="0" fillId="0" borderId="11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165" fontId="0" fillId="0" borderId="7" xfId="1" applyNumberFormat="1" applyFont="1" applyBorder="1" applyAlignment="1">
      <alignment horizontal="center"/>
    </xf>
    <xf numFmtId="165" fontId="0" fillId="0" borderId="13" xfId="1" applyNumberFormat="1" applyFont="1" applyBorder="1" applyAlignment="1">
      <alignment horizontal="center"/>
    </xf>
    <xf numFmtId="165" fontId="0" fillId="0" borderId="11" xfId="1" applyNumberFormat="1" applyFont="1" applyBorder="1" applyAlignment="1">
      <alignment horizontal="center"/>
    </xf>
    <xf numFmtId="165" fontId="0" fillId="0" borderId="12" xfId="1" applyNumberFormat="1" applyFont="1" applyBorder="1" applyAlignment="1">
      <alignment horizontal="center"/>
    </xf>
    <xf numFmtId="165" fontId="0" fillId="0" borderId="14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5" fontId="0" fillId="0" borderId="14" xfId="1" applyNumberFormat="1" applyFon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14" xfId="0" applyNumberFormat="1" applyFill="1" applyBorder="1" applyAlignment="1">
      <alignment horizontal="center" vertical="center"/>
    </xf>
    <xf numFmtId="0" fontId="0" fillId="0" borderId="13" xfId="0" applyNumberFormat="1" applyFill="1" applyBorder="1" applyAlignment="1">
      <alignment horizontal="center" vertical="center"/>
    </xf>
    <xf numFmtId="0" fontId="0" fillId="0" borderId="13" xfId="0" applyNumberFormat="1" applyBorder="1" applyAlignment="1">
      <alignment horizontal="center" vertical="center"/>
    </xf>
    <xf numFmtId="0" fontId="0" fillId="0" borderId="7" xfId="0" applyNumberFormat="1" applyFill="1" applyBorder="1" applyAlignment="1">
      <alignment horizontal="center" vertical="center"/>
    </xf>
    <xf numFmtId="0" fontId="0" fillId="0" borderId="12" xfId="0" applyNumberFormat="1" applyFill="1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9" xfId="0" applyNumberFormat="1" applyBorder="1" applyAlignment="1">
      <alignment vertical="center"/>
    </xf>
    <xf numFmtId="164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1" xfId="0" applyNumberFormat="1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165" fontId="0" fillId="0" borderId="13" xfId="1" applyNumberFormat="1" applyFont="1" applyBorder="1" applyAlignment="1">
      <alignment horizontal="center" vertical="center"/>
    </xf>
    <xf numFmtId="0" fontId="0" fillId="0" borderId="13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5" fontId="0" fillId="0" borderId="10" xfId="1" applyNumberFormat="1" applyFont="1" applyBorder="1" applyAlignment="1">
      <alignment horizontal="center" vertical="center"/>
    </xf>
    <xf numFmtId="0" fontId="0" fillId="0" borderId="13" xfId="0" applyNumberFormat="1" applyFill="1" applyBorder="1" applyAlignment="1">
      <alignment horizontal="center" vertical="center"/>
    </xf>
    <xf numFmtId="0" fontId="0" fillId="0" borderId="10" xfId="0" applyNumberForma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165" fontId="0" fillId="0" borderId="7" xfId="1" applyNumberFormat="1" applyFon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164" fontId="0" fillId="0" borderId="7" xfId="0" applyNumberFormat="1" applyFill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4" xfId="0" applyFill="1" applyBorder="1" applyAlignment="1">
      <alignment horizontal="center" vertical="center"/>
    </xf>
    <xf numFmtId="164" fontId="0" fillId="0" borderId="15" xfId="0" applyNumberFormat="1" applyBorder="1"/>
    <xf numFmtId="0" fontId="0" fillId="0" borderId="1" xfId="0" applyBorder="1"/>
    <xf numFmtId="0" fontId="0" fillId="0" borderId="14" xfId="0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3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7" xfId="0" applyBorder="1" applyAlignment="1">
      <alignment horizontal="center"/>
    </xf>
    <xf numFmtId="164" fontId="0" fillId="0" borderId="28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64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4" fontId="0" fillId="0" borderId="32" xfId="0" applyNumberForma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64" fontId="0" fillId="0" borderId="18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9" xfId="0" applyNumberFormat="1" applyBorder="1" applyAlignment="1">
      <alignment horizontal="center" vertical="center"/>
    </xf>
    <xf numFmtId="164" fontId="0" fillId="0" borderId="32" xfId="0" applyNumberFormat="1" applyBorder="1"/>
    <xf numFmtId="164" fontId="0" fillId="0" borderId="29" xfId="0" applyNumberFormat="1" applyBorder="1"/>
    <xf numFmtId="164" fontId="0" fillId="0" borderId="33" xfId="0" applyNumberFormat="1" applyBorder="1"/>
    <xf numFmtId="164" fontId="0" fillId="0" borderId="33" xfId="0" applyNumberFormat="1" applyBorder="1" applyAlignment="1">
      <alignment vertical="center"/>
    </xf>
    <xf numFmtId="164" fontId="0" fillId="0" borderId="34" xfId="0" applyNumberFormat="1" applyBorder="1"/>
    <xf numFmtId="164" fontId="0" fillId="0" borderId="29" xfId="0" applyNumberFormat="1" applyBorder="1" applyAlignment="1">
      <alignment horizontal="center"/>
    </xf>
    <xf numFmtId="164" fontId="0" fillId="0" borderId="33" xfId="0" applyNumberFormat="1" applyBorder="1" applyAlignment="1">
      <alignment horizontal="center" vertical="center"/>
    </xf>
    <xf numFmtId="164" fontId="0" fillId="0" borderId="31" xfId="0" applyNumberFormat="1" applyBorder="1" applyAlignment="1">
      <alignment horizontal="center" vertical="center"/>
    </xf>
    <xf numFmtId="164" fontId="0" fillId="0" borderId="30" xfId="0" applyNumberFormat="1" applyBorder="1"/>
    <xf numFmtId="0" fontId="0" fillId="0" borderId="35" xfId="0" applyNumberFormat="1" applyBorder="1" applyAlignment="1">
      <alignment horizontal="center" vertical="center"/>
    </xf>
    <xf numFmtId="0" fontId="0" fillId="0" borderId="36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38" xfId="0" applyNumberFormat="1" applyBorder="1" applyAlignment="1">
      <alignment horizontal="center" vertical="center"/>
    </xf>
    <xf numFmtId="0" fontId="0" fillId="0" borderId="39" xfId="0" applyNumberFormat="1" applyBorder="1" applyAlignment="1">
      <alignment horizontal="center" vertical="center"/>
    </xf>
    <xf numFmtId="0" fontId="0" fillId="0" borderId="4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41" xfId="0" applyNumberFormat="1" applyBorder="1" applyAlignment="1">
      <alignment horizontal="center" vertical="center"/>
    </xf>
    <xf numFmtId="0" fontId="0" fillId="0" borderId="38" xfId="0" applyNumberFormat="1" applyBorder="1" applyAlignment="1">
      <alignment horizontal="center" vertical="center"/>
    </xf>
    <xf numFmtId="0" fontId="0" fillId="0" borderId="40" xfId="1" applyNumberFormat="1" applyFont="1" applyBorder="1" applyAlignment="1">
      <alignment horizontal="center" vertical="center"/>
    </xf>
    <xf numFmtId="0" fontId="0" fillId="0" borderId="37" xfId="1" applyNumberFormat="1" applyFont="1" applyBorder="1" applyAlignment="1">
      <alignment horizontal="center" vertical="center"/>
    </xf>
    <xf numFmtId="0" fontId="0" fillId="0" borderId="38" xfId="1" applyNumberFormat="1" applyFont="1" applyBorder="1" applyAlignment="1">
      <alignment horizontal="center" vertical="center"/>
    </xf>
    <xf numFmtId="0" fontId="0" fillId="0" borderId="40" xfId="1" applyNumberFormat="1" applyFont="1" applyBorder="1" applyAlignment="1">
      <alignment horizontal="center" vertical="center"/>
    </xf>
    <xf numFmtId="0" fontId="0" fillId="0" borderId="36" xfId="1" applyNumberFormat="1" applyFont="1" applyBorder="1" applyAlignment="1">
      <alignment horizontal="center" vertical="center"/>
    </xf>
    <xf numFmtId="0" fontId="0" fillId="0" borderId="41" xfId="1" applyNumberFormat="1" applyFont="1" applyBorder="1" applyAlignment="1">
      <alignment horizontal="center" vertical="center"/>
    </xf>
    <xf numFmtId="0" fontId="0" fillId="0" borderId="42" xfId="1" applyNumberFormat="1" applyFont="1" applyBorder="1" applyAlignment="1">
      <alignment horizontal="center" vertical="center"/>
    </xf>
    <xf numFmtId="0" fontId="0" fillId="0" borderId="37" xfId="1" applyNumberFormat="1" applyFont="1" applyBorder="1" applyAlignment="1">
      <alignment horizontal="center" vertical="center"/>
    </xf>
    <xf numFmtId="0" fontId="0" fillId="0" borderId="35" xfId="1" applyNumberFormat="1" applyFont="1" applyBorder="1" applyAlignment="1">
      <alignment horizontal="center"/>
    </xf>
    <xf numFmtId="165" fontId="0" fillId="0" borderId="40" xfId="1" applyNumberFormat="1" applyFont="1" applyBorder="1"/>
    <xf numFmtId="165" fontId="0" fillId="0" borderId="37" xfId="1" applyNumberFormat="1" applyFont="1" applyBorder="1"/>
    <xf numFmtId="165" fontId="0" fillId="0" borderId="37" xfId="1" applyNumberFormat="1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165" fontId="0" fillId="0" borderId="38" xfId="1" applyNumberFormat="1" applyFont="1" applyBorder="1"/>
    <xf numFmtId="165" fontId="0" fillId="0" borderId="42" xfId="1" applyNumberFormat="1" applyFont="1" applyBorder="1"/>
    <xf numFmtId="165" fontId="0" fillId="0" borderId="1" xfId="1" applyNumberFormat="1" applyFont="1" applyBorder="1" applyAlignment="1">
      <alignment horizontal="center"/>
    </xf>
    <xf numFmtId="165" fontId="0" fillId="0" borderId="13" xfId="1" applyNumberFormat="1" applyFont="1" applyBorder="1"/>
    <xf numFmtId="165" fontId="0" fillId="0" borderId="11" xfId="1" applyNumberFormat="1" applyFont="1" applyBorder="1"/>
    <xf numFmtId="165" fontId="0" fillId="0" borderId="14" xfId="1" applyNumberFormat="1" applyFont="1" applyBorder="1"/>
    <xf numFmtId="165" fontId="0" fillId="0" borderId="12" xfId="1" applyNumberFormat="1" applyFont="1" applyBorder="1"/>
    <xf numFmtId="0" fontId="0" fillId="0" borderId="1" xfId="0" applyNumberFormat="1" applyFill="1" applyBorder="1" applyAlignment="1">
      <alignment horizontal="center" vertical="center"/>
    </xf>
    <xf numFmtId="164" fontId="0" fillId="0" borderId="31" xfId="0" applyNumberFormat="1" applyBorder="1" applyAlignment="1">
      <alignment horizontal="center"/>
    </xf>
    <xf numFmtId="164" fontId="0" fillId="0" borderId="18" xfId="0" applyNumberFormat="1" applyBorder="1"/>
    <xf numFmtId="164" fontId="0" fillId="0" borderId="27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4" fontId="0" fillId="0" borderId="43" xfId="0" applyNumberFormat="1" applyBorder="1"/>
    <xf numFmtId="44" fontId="0" fillId="0" borderId="0" xfId="2" applyFont="1"/>
    <xf numFmtId="44" fontId="0" fillId="0" borderId="7" xfId="2" applyFont="1" applyBorder="1" applyAlignment="1">
      <alignment horizontal="center" vertical="center"/>
    </xf>
    <xf numFmtId="44" fontId="0" fillId="0" borderId="9" xfId="2" applyFont="1" applyBorder="1" applyAlignment="1">
      <alignment horizontal="center" vertical="center"/>
    </xf>
    <xf numFmtId="44" fontId="0" fillId="0" borderId="20" xfId="2" applyFont="1" applyBorder="1" applyAlignment="1">
      <alignment horizontal="center" vertical="center"/>
    </xf>
    <xf numFmtId="44" fontId="0" fillId="0" borderId="35" xfId="2" applyFont="1" applyBorder="1" applyAlignment="1">
      <alignment horizontal="center" vertical="center"/>
    </xf>
    <xf numFmtId="44" fontId="0" fillId="0" borderId="27" xfId="2" applyFont="1" applyBorder="1" applyAlignment="1">
      <alignment horizontal="center" vertical="center"/>
    </xf>
    <xf numFmtId="44" fontId="0" fillId="0" borderId="35" xfId="2" applyFont="1" applyFill="1" applyBorder="1" applyAlignment="1">
      <alignment horizontal="center"/>
    </xf>
    <xf numFmtId="44" fontId="0" fillId="0" borderId="27" xfId="2" applyFont="1" applyFill="1" applyBorder="1" applyAlignment="1">
      <alignment horizontal="center"/>
    </xf>
    <xf numFmtId="44" fontId="0" fillId="0" borderId="1" xfId="2" applyFont="1" applyBorder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85EAD-56B3-40E5-A84D-FEC23DF14834}">
  <sheetPr codeName="Sheet1"/>
  <dimension ref="B1:R71"/>
  <sheetViews>
    <sheetView showGridLines="0" topLeftCell="B3" zoomScale="80" zoomScaleNormal="80" workbookViewId="0">
      <selection activeCell="D3" sqref="D3"/>
    </sheetView>
  </sheetViews>
  <sheetFormatPr defaultRowHeight="14.5" x14ac:dyDescent="0.35"/>
  <cols>
    <col min="2" max="2" width="15.6328125" bestFit="1" customWidth="1"/>
    <col min="3" max="3" width="38.453125" bestFit="1" customWidth="1"/>
    <col min="4" max="4" width="10.90625" style="1" bestFit="1" customWidth="1"/>
    <col min="5" max="5" width="10.90625" style="1" customWidth="1"/>
    <col min="6" max="6" width="28.6328125" style="1" bestFit="1" customWidth="1"/>
    <col min="7" max="7" width="29.36328125" bestFit="1" customWidth="1"/>
    <col min="8" max="8" width="16.81640625" style="1" bestFit="1" customWidth="1"/>
    <col min="9" max="9" width="12.90625" bestFit="1" customWidth="1"/>
    <col min="10" max="10" width="11.26953125" style="1" bestFit="1" customWidth="1"/>
    <col min="11" max="11" width="14.08984375" style="1" bestFit="1" customWidth="1"/>
    <col min="12" max="12" width="20.6328125" bestFit="1" customWidth="1"/>
    <col min="13" max="13" width="12.90625" style="1" bestFit="1" customWidth="1"/>
    <col min="14" max="14" width="12.90625" style="2" bestFit="1" customWidth="1"/>
    <col min="15" max="15" width="23.1796875" style="2" bestFit="1" customWidth="1"/>
    <col min="16" max="16" width="17.1796875" style="3" bestFit="1" customWidth="1"/>
    <col min="17" max="17" width="10.453125" style="1" bestFit="1" customWidth="1"/>
    <col min="18" max="18" width="14.08984375" style="1" bestFit="1" customWidth="1"/>
  </cols>
  <sheetData>
    <row r="1" spans="2:18" ht="15" thickBot="1" x14ac:dyDescent="0.4">
      <c r="D1"/>
      <c r="E1"/>
      <c r="F1"/>
      <c r="H1"/>
      <c r="J1"/>
      <c r="K1"/>
      <c r="M1"/>
      <c r="N1"/>
      <c r="O1"/>
      <c r="P1"/>
      <c r="Q1"/>
      <c r="R1"/>
    </row>
    <row r="2" spans="2:18" ht="15" thickBot="1" x14ac:dyDescent="0.4">
      <c r="D2"/>
      <c r="E2"/>
      <c r="F2"/>
      <c r="G2" s="85" t="s">
        <v>7</v>
      </c>
      <c r="H2" s="86"/>
      <c r="I2" s="87"/>
      <c r="J2" s="88"/>
      <c r="K2" s="89"/>
      <c r="N2"/>
      <c r="O2"/>
      <c r="P2"/>
      <c r="Q2"/>
      <c r="R2"/>
    </row>
    <row r="3" spans="2:18" ht="15" thickBot="1" x14ac:dyDescent="0.4">
      <c r="B3" s="97" t="s">
        <v>41</v>
      </c>
      <c r="C3" s="4" t="s">
        <v>0</v>
      </c>
      <c r="D3" s="4" t="s">
        <v>5</v>
      </c>
      <c r="E3" s="4" t="s">
        <v>9</v>
      </c>
      <c r="F3" s="4" t="s">
        <v>6</v>
      </c>
      <c r="G3" s="8" t="s">
        <v>1</v>
      </c>
      <c r="H3" s="8" t="s">
        <v>19</v>
      </c>
      <c r="I3" s="8" t="s">
        <v>11</v>
      </c>
      <c r="J3" s="8" t="s">
        <v>13</v>
      </c>
      <c r="K3" s="8" t="s">
        <v>10</v>
      </c>
      <c r="L3" s="4" t="s">
        <v>1</v>
      </c>
      <c r="M3" s="4" t="s">
        <v>2</v>
      </c>
      <c r="N3" s="127" t="s">
        <v>3</v>
      </c>
      <c r="O3" s="4" t="s">
        <v>31</v>
      </c>
      <c r="P3" s="4" t="s">
        <v>30</v>
      </c>
      <c r="Q3" s="4" t="s">
        <v>4</v>
      </c>
      <c r="R3" s="108" t="s">
        <v>10</v>
      </c>
    </row>
    <row r="4" spans="2:18" x14ac:dyDescent="0.35">
      <c r="B4" s="98" t="s">
        <v>42</v>
      </c>
      <c r="C4" s="76" t="s">
        <v>8</v>
      </c>
      <c r="D4" s="71">
        <f>1.18*1000</f>
        <v>1180</v>
      </c>
      <c r="E4" s="71">
        <f>1.18*4500</f>
        <v>5310</v>
      </c>
      <c r="F4" s="71">
        <v>0</v>
      </c>
      <c r="G4" s="9" t="s">
        <v>12</v>
      </c>
      <c r="H4" s="71">
        <v>0</v>
      </c>
      <c r="I4" s="9">
        <v>4000</v>
      </c>
      <c r="J4" s="25">
        <v>0.43</v>
      </c>
      <c r="K4" s="25">
        <f>I4*J4</f>
        <v>1720</v>
      </c>
      <c r="L4" s="76" t="s">
        <v>14</v>
      </c>
      <c r="M4" s="71">
        <v>10000</v>
      </c>
      <c r="N4" s="128">
        <f>2000+(10000/100)*2</f>
        <v>2200</v>
      </c>
      <c r="O4" s="76"/>
      <c r="P4" s="79">
        <v>2000</v>
      </c>
      <c r="Q4" s="71">
        <v>0.43</v>
      </c>
      <c r="R4" s="109">
        <f>Q4*O4</f>
        <v>0</v>
      </c>
    </row>
    <row r="5" spans="2:18" x14ac:dyDescent="0.35">
      <c r="B5" s="98"/>
      <c r="C5" s="53"/>
      <c r="D5" s="53"/>
      <c r="E5" s="53"/>
      <c r="F5" s="52"/>
      <c r="G5" s="10" t="s">
        <v>20</v>
      </c>
      <c r="H5" s="52"/>
      <c r="I5" s="10">
        <v>4000</v>
      </c>
      <c r="J5" s="26">
        <v>0.43</v>
      </c>
      <c r="K5" s="26">
        <f>I5*J5</f>
        <v>1720</v>
      </c>
      <c r="L5" s="53"/>
      <c r="M5" s="52"/>
      <c r="N5" s="129"/>
      <c r="O5" s="53"/>
      <c r="P5" s="62"/>
      <c r="Q5" s="52"/>
      <c r="R5" s="117"/>
    </row>
    <row r="6" spans="2:18" x14ac:dyDescent="0.35">
      <c r="B6" s="98"/>
      <c r="C6" s="53"/>
      <c r="D6" s="53"/>
      <c r="E6" s="53"/>
      <c r="F6" s="52"/>
      <c r="G6" s="10" t="s">
        <v>15</v>
      </c>
      <c r="H6" s="52"/>
      <c r="I6" s="10">
        <v>5000</v>
      </c>
      <c r="J6" s="26">
        <v>0.43</v>
      </c>
      <c r="K6" s="26">
        <f>I6*J6</f>
        <v>2150</v>
      </c>
      <c r="L6" s="53"/>
      <c r="M6" s="52"/>
      <c r="N6" s="129"/>
      <c r="O6" s="53"/>
      <c r="P6" s="62"/>
      <c r="Q6" s="52"/>
      <c r="R6" s="117"/>
    </row>
    <row r="7" spans="2:18" x14ac:dyDescent="0.35">
      <c r="B7" s="98"/>
      <c r="C7" s="53"/>
      <c r="D7" s="53"/>
      <c r="E7" s="53"/>
      <c r="F7" s="52"/>
      <c r="G7" s="10" t="s">
        <v>16</v>
      </c>
      <c r="H7" s="52"/>
      <c r="I7" s="10">
        <v>4000</v>
      </c>
      <c r="J7" s="26">
        <v>0.43</v>
      </c>
      <c r="K7" s="26">
        <f>I7*J7</f>
        <v>1720</v>
      </c>
      <c r="L7" s="66" t="s">
        <v>36</v>
      </c>
      <c r="M7" s="72">
        <v>100</v>
      </c>
      <c r="N7" s="130">
        <v>2</v>
      </c>
      <c r="O7" s="66"/>
      <c r="P7" s="68">
        <v>0</v>
      </c>
      <c r="Q7" s="72">
        <v>0.43</v>
      </c>
      <c r="R7" s="124">
        <f>(O7/M7)*N7*Q7</f>
        <v>0</v>
      </c>
    </row>
    <row r="8" spans="2:18" ht="15" thickBot="1" x14ac:dyDescent="0.4">
      <c r="B8" s="98"/>
      <c r="C8" s="54"/>
      <c r="D8" s="54"/>
      <c r="E8" s="54"/>
      <c r="F8" s="84"/>
      <c r="G8" s="11" t="s">
        <v>17</v>
      </c>
      <c r="H8" s="84"/>
      <c r="I8" s="11">
        <v>2000</v>
      </c>
      <c r="J8" s="27">
        <v>0.43</v>
      </c>
      <c r="K8" s="27">
        <f>I8*J8</f>
        <v>860</v>
      </c>
      <c r="L8" s="57"/>
      <c r="M8" s="60"/>
      <c r="N8" s="131"/>
      <c r="O8" s="57"/>
      <c r="P8" s="82"/>
      <c r="Q8" s="60"/>
      <c r="R8" s="125"/>
    </row>
    <row r="9" spans="2:18" x14ac:dyDescent="0.35">
      <c r="B9" s="98"/>
      <c r="C9" s="55" t="s">
        <v>18</v>
      </c>
      <c r="D9" s="58">
        <f>1.18*495</f>
        <v>584.1</v>
      </c>
      <c r="E9" s="58">
        <f>1.18*495</f>
        <v>584.1</v>
      </c>
      <c r="F9" s="58">
        <v>40000</v>
      </c>
      <c r="G9" s="64" t="s">
        <v>12</v>
      </c>
      <c r="H9" s="83">
        <v>10000</v>
      </c>
      <c r="I9" s="64">
        <v>0</v>
      </c>
      <c r="J9" s="58">
        <v>0</v>
      </c>
      <c r="K9" s="58">
        <v>500</v>
      </c>
      <c r="L9" s="23" t="s">
        <v>21</v>
      </c>
      <c r="M9" s="30">
        <v>100</v>
      </c>
      <c r="N9" s="132">
        <v>20</v>
      </c>
      <c r="O9" s="39"/>
      <c r="P9" s="44">
        <v>500</v>
      </c>
      <c r="Q9" s="49">
        <v>0.43</v>
      </c>
      <c r="R9" s="115">
        <f t="shared" ref="R9:R18" si="0">(O9/M9)*N9*Q9</f>
        <v>0</v>
      </c>
    </row>
    <row r="10" spans="2:18" x14ac:dyDescent="0.35">
      <c r="B10" s="98"/>
      <c r="C10" s="56"/>
      <c r="D10" s="56"/>
      <c r="E10" s="56"/>
      <c r="F10" s="56"/>
      <c r="G10" s="56"/>
      <c r="H10" s="56"/>
      <c r="I10" s="56"/>
      <c r="J10" s="56"/>
      <c r="K10" s="56"/>
      <c r="L10" s="10" t="s">
        <v>22</v>
      </c>
      <c r="M10" s="26">
        <v>100</v>
      </c>
      <c r="N10" s="133">
        <v>20</v>
      </c>
      <c r="O10" s="40"/>
      <c r="P10" s="48">
        <v>500</v>
      </c>
      <c r="Q10" s="50">
        <v>0.43</v>
      </c>
      <c r="R10" s="123">
        <f t="shared" si="0"/>
        <v>0</v>
      </c>
    </row>
    <row r="11" spans="2:18" x14ac:dyDescent="0.35">
      <c r="B11" s="98"/>
      <c r="C11" s="56"/>
      <c r="D11" s="56"/>
      <c r="E11" s="56"/>
      <c r="F11" s="56"/>
      <c r="G11" s="56"/>
      <c r="H11" s="56"/>
      <c r="I11" s="56"/>
      <c r="J11" s="56"/>
      <c r="K11" s="56"/>
      <c r="L11" s="10" t="s">
        <v>23</v>
      </c>
      <c r="M11" s="26">
        <v>100</v>
      </c>
      <c r="N11" s="133">
        <v>10</v>
      </c>
      <c r="O11" s="40"/>
      <c r="P11" s="62">
        <v>250</v>
      </c>
      <c r="Q11" s="52">
        <v>0.43</v>
      </c>
      <c r="R11" s="123">
        <f t="shared" si="0"/>
        <v>0</v>
      </c>
    </row>
    <row r="12" spans="2:18" x14ac:dyDescent="0.35">
      <c r="B12" s="98"/>
      <c r="C12" s="56"/>
      <c r="D12" s="56"/>
      <c r="E12" s="56"/>
      <c r="F12" s="56"/>
      <c r="G12" s="56"/>
      <c r="H12" s="56"/>
      <c r="I12" s="56"/>
      <c r="J12" s="56"/>
      <c r="K12" s="56"/>
      <c r="L12" s="10" t="s">
        <v>24</v>
      </c>
      <c r="M12" s="26">
        <v>100</v>
      </c>
      <c r="N12" s="133">
        <v>10</v>
      </c>
      <c r="O12" s="40"/>
      <c r="P12" s="62"/>
      <c r="Q12" s="52"/>
      <c r="R12" s="123">
        <f t="shared" si="0"/>
        <v>0</v>
      </c>
    </row>
    <row r="13" spans="2:18" x14ac:dyDescent="0.35">
      <c r="B13" s="98"/>
      <c r="C13" s="56"/>
      <c r="D13" s="56"/>
      <c r="E13" s="56"/>
      <c r="F13" s="56"/>
      <c r="G13" s="56"/>
      <c r="H13" s="56"/>
      <c r="I13" s="56"/>
      <c r="J13" s="56"/>
      <c r="K13" s="56"/>
      <c r="L13" s="10" t="s">
        <v>25</v>
      </c>
      <c r="M13" s="26">
        <v>100</v>
      </c>
      <c r="N13" s="133">
        <v>10</v>
      </c>
      <c r="O13" s="40"/>
      <c r="P13" s="62"/>
      <c r="Q13" s="52"/>
      <c r="R13" s="123">
        <f t="shared" si="0"/>
        <v>0</v>
      </c>
    </row>
    <row r="14" spans="2:18" x14ac:dyDescent="0.35">
      <c r="B14" s="98"/>
      <c r="C14" s="56"/>
      <c r="D14" s="56"/>
      <c r="E14" s="56"/>
      <c r="F14" s="56"/>
      <c r="G14" s="56"/>
      <c r="H14" s="56"/>
      <c r="I14" s="56"/>
      <c r="J14" s="56"/>
      <c r="K14" s="56"/>
      <c r="L14" s="10" t="s">
        <v>26</v>
      </c>
      <c r="M14" s="26">
        <v>100</v>
      </c>
      <c r="N14" s="133">
        <v>10</v>
      </c>
      <c r="O14" s="40"/>
      <c r="P14" s="62"/>
      <c r="Q14" s="52"/>
      <c r="R14" s="123">
        <f t="shared" si="0"/>
        <v>0</v>
      </c>
    </row>
    <row r="15" spans="2:18" x14ac:dyDescent="0.35">
      <c r="B15" s="98"/>
      <c r="C15" s="56"/>
      <c r="D15" s="56"/>
      <c r="E15" s="56"/>
      <c r="F15" s="56"/>
      <c r="G15" s="56"/>
      <c r="H15" s="56"/>
      <c r="I15" s="56"/>
      <c r="J15" s="56"/>
      <c r="K15" s="56"/>
      <c r="L15" s="10" t="s">
        <v>27</v>
      </c>
      <c r="M15" s="26">
        <v>100</v>
      </c>
      <c r="N15" s="133">
        <v>10</v>
      </c>
      <c r="O15" s="40"/>
      <c r="P15" s="62"/>
      <c r="Q15" s="52"/>
      <c r="R15" s="123">
        <f t="shared" si="0"/>
        <v>0</v>
      </c>
    </row>
    <row r="16" spans="2:18" x14ac:dyDescent="0.35">
      <c r="B16" s="98"/>
      <c r="C16" s="56"/>
      <c r="D16" s="56"/>
      <c r="E16" s="56"/>
      <c r="F16" s="56"/>
      <c r="G16" s="56"/>
      <c r="H16" s="56"/>
      <c r="I16" s="56"/>
      <c r="J16" s="56"/>
      <c r="K16" s="56"/>
      <c r="L16" s="10" t="s">
        <v>28</v>
      </c>
      <c r="M16" s="26">
        <v>100</v>
      </c>
      <c r="N16" s="133">
        <v>10</v>
      </c>
      <c r="O16" s="40"/>
      <c r="P16" s="62"/>
      <c r="Q16" s="52"/>
      <c r="R16" s="123">
        <f t="shared" si="0"/>
        <v>0</v>
      </c>
    </row>
    <row r="17" spans="2:18" x14ac:dyDescent="0.35">
      <c r="B17" s="98"/>
      <c r="C17" s="56"/>
      <c r="D17" s="56"/>
      <c r="E17" s="56"/>
      <c r="F17" s="56"/>
      <c r="G17" s="56"/>
      <c r="H17" s="56"/>
      <c r="I17" s="56"/>
      <c r="J17" s="56"/>
      <c r="K17" s="56"/>
      <c r="L17" s="10" t="s">
        <v>29</v>
      </c>
      <c r="M17" s="26">
        <v>100</v>
      </c>
      <c r="N17" s="133">
        <v>10</v>
      </c>
      <c r="O17" s="40"/>
      <c r="P17" s="62"/>
      <c r="Q17" s="52"/>
      <c r="R17" s="123">
        <f t="shared" si="0"/>
        <v>0</v>
      </c>
    </row>
    <row r="18" spans="2:18" ht="15" thickBot="1" x14ac:dyDescent="0.4">
      <c r="B18" s="98"/>
      <c r="C18" s="57"/>
      <c r="D18" s="57"/>
      <c r="E18" s="57"/>
      <c r="F18" s="57"/>
      <c r="G18" s="57"/>
      <c r="H18" s="57"/>
      <c r="I18" s="57"/>
      <c r="J18" s="57"/>
      <c r="K18" s="57"/>
      <c r="L18" s="29" t="s">
        <v>36</v>
      </c>
      <c r="M18" s="22">
        <v>100</v>
      </c>
      <c r="N18" s="133">
        <v>2</v>
      </c>
      <c r="O18" s="36"/>
      <c r="P18" s="42">
        <v>0</v>
      </c>
      <c r="Q18" s="51">
        <v>0.43</v>
      </c>
      <c r="R18" s="158">
        <f t="shared" si="0"/>
        <v>0</v>
      </c>
    </row>
    <row r="19" spans="2:18" x14ac:dyDescent="0.35">
      <c r="B19" s="98"/>
      <c r="C19" s="55" t="s">
        <v>32</v>
      </c>
      <c r="D19" s="58">
        <f>1.18*1000</f>
        <v>1180</v>
      </c>
      <c r="E19" s="58">
        <f>1.18*4500</f>
        <v>5310</v>
      </c>
      <c r="F19" s="58">
        <v>150000</v>
      </c>
      <c r="G19" s="12" t="s">
        <v>12</v>
      </c>
      <c r="H19" s="18">
        <v>0</v>
      </c>
      <c r="I19" s="12">
        <v>4000</v>
      </c>
      <c r="J19" s="18">
        <v>0.43</v>
      </c>
      <c r="K19" s="18">
        <f>J19*I19</f>
        <v>1720</v>
      </c>
      <c r="L19" s="64" t="s">
        <v>14</v>
      </c>
      <c r="M19" s="58">
        <v>4000</v>
      </c>
      <c r="N19" s="134">
        <f>1000+(4000/100)*2</f>
        <v>1080</v>
      </c>
      <c r="O19" s="81"/>
      <c r="P19" s="78">
        <v>1000</v>
      </c>
      <c r="Q19" s="58">
        <v>0.43</v>
      </c>
      <c r="R19" s="111">
        <f t="shared" ref="R19" si="1">Q19*O19</f>
        <v>0</v>
      </c>
    </row>
    <row r="20" spans="2:18" x14ac:dyDescent="0.35">
      <c r="B20" s="98"/>
      <c r="C20" s="56"/>
      <c r="D20" s="56"/>
      <c r="E20" s="56"/>
      <c r="F20" s="56"/>
      <c r="G20" s="13" t="s">
        <v>20</v>
      </c>
      <c r="H20" s="19">
        <v>0</v>
      </c>
      <c r="I20" s="13">
        <v>2000</v>
      </c>
      <c r="J20" s="19">
        <v>0.43</v>
      </c>
      <c r="K20" s="19">
        <f>J20*I20</f>
        <v>860</v>
      </c>
      <c r="L20" s="80"/>
      <c r="M20" s="71"/>
      <c r="N20" s="128"/>
      <c r="O20" s="73"/>
      <c r="P20" s="79"/>
      <c r="Q20" s="71"/>
      <c r="R20" s="109"/>
    </row>
    <row r="21" spans="2:18" ht="15" thickBot="1" x14ac:dyDescent="0.4">
      <c r="B21" s="99"/>
      <c r="C21" s="56"/>
      <c r="D21" s="56"/>
      <c r="E21" s="56"/>
      <c r="F21" s="56"/>
      <c r="G21" s="14" t="s">
        <v>15</v>
      </c>
      <c r="H21" s="20">
        <v>0</v>
      </c>
      <c r="I21" s="15">
        <v>5000</v>
      </c>
      <c r="J21" s="20">
        <v>0.43</v>
      </c>
      <c r="K21" s="20">
        <f>J21*I21</f>
        <v>2150</v>
      </c>
      <c r="L21" s="93" t="s">
        <v>36</v>
      </c>
      <c r="M21" s="21">
        <v>100</v>
      </c>
      <c r="N21" s="135">
        <v>2</v>
      </c>
      <c r="O21" s="41"/>
      <c r="P21" s="32">
        <v>0</v>
      </c>
      <c r="Q21" s="21">
        <v>0.43</v>
      </c>
      <c r="R21" s="121">
        <f t="shared" ref="R21:R32" si="2">(O21/M21)*N21*Q21</f>
        <v>0</v>
      </c>
    </row>
    <row r="22" spans="2:18" x14ac:dyDescent="0.35">
      <c r="B22" s="100" t="s">
        <v>44</v>
      </c>
      <c r="C22" s="67" t="s">
        <v>33</v>
      </c>
      <c r="D22" s="58">
        <f>1.18*1000</f>
        <v>1180</v>
      </c>
      <c r="E22" s="58">
        <f>1.18*1000</f>
        <v>1180</v>
      </c>
      <c r="F22" s="58">
        <v>30000</v>
      </c>
      <c r="G22" s="64" t="s">
        <v>12</v>
      </c>
      <c r="H22" s="58">
        <v>0</v>
      </c>
      <c r="I22" s="64">
        <v>250</v>
      </c>
      <c r="J22" s="58">
        <v>1</v>
      </c>
      <c r="K22" s="58">
        <f>J22*I22</f>
        <v>250</v>
      </c>
      <c r="L22" s="12" t="s">
        <v>34</v>
      </c>
      <c r="M22" s="18">
        <v>150</v>
      </c>
      <c r="N22" s="136">
        <v>4</v>
      </c>
      <c r="O22" s="34"/>
      <c r="P22" s="45">
        <v>0</v>
      </c>
      <c r="Q22" s="18">
        <v>1</v>
      </c>
      <c r="R22" s="118">
        <f t="shared" si="2"/>
        <v>0</v>
      </c>
    </row>
    <row r="23" spans="2:18" x14ac:dyDescent="0.35">
      <c r="B23" s="98"/>
      <c r="C23" s="53"/>
      <c r="D23" s="59"/>
      <c r="E23" s="56"/>
      <c r="F23" s="56"/>
      <c r="G23" s="56"/>
      <c r="H23" s="56"/>
      <c r="I23" s="56"/>
      <c r="J23" s="56"/>
      <c r="K23" s="56"/>
      <c r="L23" s="13" t="s">
        <v>35</v>
      </c>
      <c r="M23" s="19">
        <v>150</v>
      </c>
      <c r="N23" s="137">
        <v>2</v>
      </c>
      <c r="O23" s="35"/>
      <c r="P23" s="31">
        <v>0</v>
      </c>
      <c r="Q23" s="19">
        <v>1</v>
      </c>
      <c r="R23" s="119">
        <f t="shared" si="2"/>
        <v>0</v>
      </c>
    </row>
    <row r="24" spans="2:18" ht="15" thickBot="1" x14ac:dyDescent="0.4">
      <c r="B24" s="98"/>
      <c r="C24" s="66"/>
      <c r="D24" s="59"/>
      <c r="E24" s="56"/>
      <c r="F24" s="56"/>
      <c r="G24" s="56"/>
      <c r="H24" s="56"/>
      <c r="I24" s="56"/>
      <c r="J24" s="56"/>
      <c r="K24" s="56"/>
      <c r="L24" s="15" t="s">
        <v>36</v>
      </c>
      <c r="M24" s="20">
        <v>150</v>
      </c>
      <c r="N24" s="138">
        <v>1</v>
      </c>
      <c r="O24" s="37"/>
      <c r="P24" s="32">
        <v>0</v>
      </c>
      <c r="Q24" s="20">
        <v>1</v>
      </c>
      <c r="R24" s="120">
        <f t="shared" si="2"/>
        <v>0</v>
      </c>
    </row>
    <row r="25" spans="2:18" x14ac:dyDescent="0.35">
      <c r="B25" s="98"/>
      <c r="C25" s="67" t="s">
        <v>37</v>
      </c>
      <c r="D25" s="65">
        <f>1.18*500</f>
        <v>590</v>
      </c>
      <c r="E25" s="65">
        <f>1.18*500</f>
        <v>590</v>
      </c>
      <c r="F25" s="65">
        <v>50000</v>
      </c>
      <c r="G25" s="12" t="s">
        <v>12</v>
      </c>
      <c r="H25" s="18">
        <v>5000</v>
      </c>
      <c r="I25" s="12">
        <v>1000</v>
      </c>
      <c r="J25" s="18">
        <v>1</v>
      </c>
      <c r="K25" s="18">
        <f>J25*I25</f>
        <v>1000</v>
      </c>
      <c r="L25" s="12" t="s">
        <v>39</v>
      </c>
      <c r="M25" s="18">
        <v>500</v>
      </c>
      <c r="N25" s="136">
        <v>250</v>
      </c>
      <c r="O25" s="34"/>
      <c r="P25" s="44">
        <v>0</v>
      </c>
      <c r="Q25" s="18">
        <v>1</v>
      </c>
      <c r="R25" s="118">
        <f t="shared" si="2"/>
        <v>0</v>
      </c>
    </row>
    <row r="26" spans="2:18" ht="15" thickBot="1" x14ac:dyDescent="0.4">
      <c r="B26" s="98"/>
      <c r="C26" s="66"/>
      <c r="D26" s="66"/>
      <c r="E26" s="66"/>
      <c r="F26" s="66"/>
      <c r="G26" s="15" t="s">
        <v>38</v>
      </c>
      <c r="H26" s="20">
        <v>0</v>
      </c>
      <c r="I26" s="15">
        <v>799</v>
      </c>
      <c r="J26" s="20">
        <v>1</v>
      </c>
      <c r="K26" s="20">
        <f>J26*I26</f>
        <v>799</v>
      </c>
      <c r="L26" s="15" t="s">
        <v>36</v>
      </c>
      <c r="M26" s="20">
        <v>100</v>
      </c>
      <c r="N26" s="138">
        <v>1</v>
      </c>
      <c r="O26" s="37"/>
      <c r="P26" s="43">
        <v>0</v>
      </c>
      <c r="Q26" s="20">
        <v>1</v>
      </c>
      <c r="R26" s="120">
        <f t="shared" si="2"/>
        <v>0</v>
      </c>
    </row>
    <row r="27" spans="2:18" x14ac:dyDescent="0.35">
      <c r="B27" s="98"/>
      <c r="C27" s="67" t="s">
        <v>40</v>
      </c>
      <c r="D27" s="65">
        <f>1.18*1000</f>
        <v>1180</v>
      </c>
      <c r="E27" s="65">
        <f>1.18*1000</f>
        <v>1180</v>
      </c>
      <c r="F27" s="65">
        <v>30000</v>
      </c>
      <c r="G27" s="77" t="s">
        <v>12</v>
      </c>
      <c r="H27" s="65">
        <v>0</v>
      </c>
      <c r="I27" s="77">
        <v>2500</v>
      </c>
      <c r="J27" s="65">
        <v>0.35</v>
      </c>
      <c r="K27" s="65">
        <f>I27*J27</f>
        <v>875</v>
      </c>
      <c r="L27" s="12" t="s">
        <v>35</v>
      </c>
      <c r="M27" s="18">
        <v>125</v>
      </c>
      <c r="N27" s="136">
        <v>10</v>
      </c>
      <c r="O27" s="34"/>
      <c r="P27" s="44">
        <v>0</v>
      </c>
      <c r="Q27" s="18">
        <v>0.35</v>
      </c>
      <c r="R27" s="118">
        <f t="shared" si="2"/>
        <v>0</v>
      </c>
    </row>
    <row r="28" spans="2:18" x14ac:dyDescent="0.35">
      <c r="B28" s="98"/>
      <c r="C28" s="53"/>
      <c r="D28" s="53"/>
      <c r="E28" s="53"/>
      <c r="F28" s="53"/>
      <c r="G28" s="61"/>
      <c r="H28" s="52"/>
      <c r="I28" s="61"/>
      <c r="J28" s="52"/>
      <c r="K28" s="52"/>
      <c r="L28" s="13" t="s">
        <v>43</v>
      </c>
      <c r="M28" s="19">
        <v>125</v>
      </c>
      <c r="N28" s="137">
        <v>1</v>
      </c>
      <c r="O28" s="35"/>
      <c r="P28" s="48">
        <v>0</v>
      </c>
      <c r="Q28" s="19">
        <v>0.35</v>
      </c>
      <c r="R28" s="119">
        <f t="shared" si="2"/>
        <v>0</v>
      </c>
    </row>
    <row r="29" spans="2:18" ht="15" thickBot="1" x14ac:dyDescent="0.4">
      <c r="B29" s="99"/>
      <c r="C29" s="66"/>
      <c r="D29" s="66"/>
      <c r="E29" s="66"/>
      <c r="F29" s="66"/>
      <c r="G29" s="16" t="s">
        <v>46</v>
      </c>
      <c r="H29" s="21">
        <v>30000</v>
      </c>
      <c r="I29" s="16">
        <v>300</v>
      </c>
      <c r="J29" s="21">
        <v>0.35</v>
      </c>
      <c r="K29" s="21">
        <f>J29*I29</f>
        <v>105</v>
      </c>
      <c r="L29" s="15" t="s">
        <v>36</v>
      </c>
      <c r="M29" s="20">
        <v>125</v>
      </c>
      <c r="N29" s="138">
        <v>1</v>
      </c>
      <c r="O29" s="37"/>
      <c r="P29" s="43">
        <v>0</v>
      </c>
      <c r="Q29" s="20">
        <v>0.35</v>
      </c>
      <c r="R29" s="120">
        <f t="shared" si="2"/>
        <v>0</v>
      </c>
    </row>
    <row r="30" spans="2:18" x14ac:dyDescent="0.35">
      <c r="B30" s="100" t="s">
        <v>56</v>
      </c>
      <c r="C30" s="67" t="s">
        <v>45</v>
      </c>
      <c r="D30" s="65">
        <f>1.18*500</f>
        <v>590</v>
      </c>
      <c r="E30" s="65">
        <f>1.18*500</f>
        <v>590</v>
      </c>
      <c r="F30" s="65">
        <v>50000</v>
      </c>
      <c r="G30" s="23" t="s">
        <v>12</v>
      </c>
      <c r="H30" s="18">
        <v>10000</v>
      </c>
      <c r="I30" s="23">
        <v>0</v>
      </c>
      <c r="J30" s="18">
        <v>0</v>
      </c>
      <c r="K30" s="18">
        <v>590</v>
      </c>
      <c r="L30" s="12" t="s">
        <v>48</v>
      </c>
      <c r="M30" s="18">
        <v>150</v>
      </c>
      <c r="N30" s="136">
        <v>4</v>
      </c>
      <c r="O30" s="34"/>
      <c r="P30" s="44">
        <v>0</v>
      </c>
      <c r="Q30" s="18">
        <v>0.3</v>
      </c>
      <c r="R30" s="118">
        <f t="shared" si="2"/>
        <v>0</v>
      </c>
    </row>
    <row r="31" spans="2:18" ht="15" thickBot="1" x14ac:dyDescent="0.4">
      <c r="B31" s="98"/>
      <c r="C31" s="66"/>
      <c r="D31" s="66"/>
      <c r="E31" s="66"/>
      <c r="F31" s="66"/>
      <c r="G31" s="14" t="s">
        <v>47</v>
      </c>
      <c r="H31" s="20">
        <v>50000</v>
      </c>
      <c r="I31" s="14">
        <v>0</v>
      </c>
      <c r="J31" s="20">
        <v>0</v>
      </c>
      <c r="K31" s="20">
        <v>500</v>
      </c>
      <c r="L31" s="15" t="s">
        <v>36</v>
      </c>
      <c r="M31" s="20">
        <v>150</v>
      </c>
      <c r="N31" s="138">
        <v>2</v>
      </c>
      <c r="O31" s="37"/>
      <c r="P31" s="43">
        <v>0</v>
      </c>
      <c r="Q31" s="20">
        <v>0.3</v>
      </c>
      <c r="R31" s="120">
        <f t="shared" si="2"/>
        <v>0</v>
      </c>
    </row>
    <row r="32" spans="2:18" x14ac:dyDescent="0.35">
      <c r="B32" s="98"/>
      <c r="C32" s="55" t="s">
        <v>49</v>
      </c>
      <c r="D32" s="58">
        <f>1.18*2500</f>
        <v>2950</v>
      </c>
      <c r="E32" s="58">
        <f>1.18*2500</f>
        <v>2950</v>
      </c>
      <c r="F32" s="58">
        <v>300000</v>
      </c>
      <c r="G32" s="6" t="s">
        <v>12</v>
      </c>
      <c r="H32" s="18">
        <v>0</v>
      </c>
      <c r="I32" s="23">
        <v>2500</v>
      </c>
      <c r="J32" s="18">
        <v>0.3</v>
      </c>
      <c r="K32" s="18">
        <f>J32*I32</f>
        <v>750</v>
      </c>
      <c r="L32" s="67" t="s">
        <v>36</v>
      </c>
      <c r="M32" s="65">
        <v>150</v>
      </c>
      <c r="N32" s="139">
        <v>4</v>
      </c>
      <c r="O32" s="69"/>
      <c r="P32" s="74">
        <v>0</v>
      </c>
      <c r="Q32" s="65">
        <v>0.3</v>
      </c>
      <c r="R32" s="113">
        <f t="shared" si="2"/>
        <v>0</v>
      </c>
    </row>
    <row r="33" spans="2:18" x14ac:dyDescent="0.35">
      <c r="B33" s="98"/>
      <c r="C33" s="56"/>
      <c r="D33" s="59"/>
      <c r="E33" s="59"/>
      <c r="F33" s="59"/>
      <c r="G33" s="10" t="s">
        <v>50</v>
      </c>
      <c r="H33" s="19">
        <v>500000</v>
      </c>
      <c r="I33" s="10">
        <v>10000</v>
      </c>
      <c r="J33" s="19">
        <v>0.3</v>
      </c>
      <c r="K33" s="28">
        <f>J33*I33</f>
        <v>3000</v>
      </c>
      <c r="L33" s="76"/>
      <c r="M33" s="71"/>
      <c r="N33" s="140"/>
      <c r="O33" s="73"/>
      <c r="P33" s="75"/>
      <c r="Q33" s="71"/>
      <c r="R33" s="109"/>
    </row>
    <row r="34" spans="2:18" x14ac:dyDescent="0.35">
      <c r="B34" s="98"/>
      <c r="C34" s="56"/>
      <c r="D34" s="56"/>
      <c r="E34" s="56"/>
      <c r="F34" s="56"/>
      <c r="G34" s="10" t="s">
        <v>51</v>
      </c>
      <c r="H34" s="19">
        <v>800000</v>
      </c>
      <c r="I34" s="10">
        <v>5000</v>
      </c>
      <c r="J34" s="19">
        <v>0.3</v>
      </c>
      <c r="K34" s="19">
        <f>J34*I34</f>
        <v>1500</v>
      </c>
      <c r="L34" s="53"/>
      <c r="M34" s="52"/>
      <c r="N34" s="129"/>
      <c r="O34" s="53"/>
      <c r="P34" s="53"/>
      <c r="Q34" s="53"/>
      <c r="R34" s="110"/>
    </row>
    <row r="35" spans="2:18" ht="15" thickBot="1" x14ac:dyDescent="0.4">
      <c r="B35" s="98"/>
      <c r="C35" s="56"/>
      <c r="D35" s="56"/>
      <c r="E35" s="56"/>
      <c r="F35" s="56"/>
      <c r="G35" s="14" t="s">
        <v>52</v>
      </c>
      <c r="H35" s="20">
        <v>0</v>
      </c>
      <c r="I35" s="14">
        <v>0</v>
      </c>
      <c r="J35" s="20">
        <v>0</v>
      </c>
      <c r="K35" s="20">
        <v>1500</v>
      </c>
      <c r="L35" s="66"/>
      <c r="M35" s="72"/>
      <c r="N35" s="130"/>
      <c r="O35" s="66"/>
      <c r="P35" s="66"/>
      <c r="Q35" s="66"/>
      <c r="R35" s="114"/>
    </row>
    <row r="36" spans="2:18" x14ac:dyDescent="0.35">
      <c r="B36" s="98"/>
      <c r="C36" s="55" t="s">
        <v>53</v>
      </c>
      <c r="D36" s="58">
        <f>1.18*1000</f>
        <v>1180</v>
      </c>
      <c r="E36" s="58">
        <f>1.18*1000</f>
        <v>1180</v>
      </c>
      <c r="F36" s="58">
        <v>100000</v>
      </c>
      <c r="G36" s="12" t="s">
        <v>12</v>
      </c>
      <c r="H36" s="18">
        <v>0</v>
      </c>
      <c r="I36" s="12">
        <v>1000</v>
      </c>
      <c r="J36" s="18">
        <v>0.3</v>
      </c>
      <c r="K36" s="18">
        <f>J36*I36</f>
        <v>300</v>
      </c>
      <c r="L36" s="67" t="s">
        <v>36</v>
      </c>
      <c r="M36" s="65">
        <v>150</v>
      </c>
      <c r="N36" s="139">
        <v>4</v>
      </c>
      <c r="O36" s="69"/>
      <c r="P36" s="70">
        <v>0</v>
      </c>
      <c r="Q36" s="65">
        <v>0.3</v>
      </c>
      <c r="R36" s="113">
        <f>(O36/M36)*N36*Q36</f>
        <v>0</v>
      </c>
    </row>
    <row r="37" spans="2:18" x14ac:dyDescent="0.35">
      <c r="B37" s="98"/>
      <c r="C37" s="56"/>
      <c r="D37" s="56"/>
      <c r="E37" s="56"/>
      <c r="F37" s="56"/>
      <c r="G37" s="10" t="s">
        <v>54</v>
      </c>
      <c r="H37" s="19">
        <v>300000</v>
      </c>
      <c r="I37" s="13">
        <v>5000</v>
      </c>
      <c r="J37" s="19">
        <v>0.3</v>
      </c>
      <c r="K37" s="19">
        <f t="shared" ref="K37:K38" si="3">J37*I37</f>
        <v>1500</v>
      </c>
      <c r="L37" s="53"/>
      <c r="M37" s="53"/>
      <c r="N37" s="129"/>
      <c r="O37" s="53"/>
      <c r="P37" s="53"/>
      <c r="Q37" s="53"/>
      <c r="R37" s="117"/>
    </row>
    <row r="38" spans="2:18" x14ac:dyDescent="0.35">
      <c r="B38" s="98"/>
      <c r="C38" s="56"/>
      <c r="D38" s="56"/>
      <c r="E38" s="56"/>
      <c r="F38" s="56"/>
      <c r="G38" s="10" t="s">
        <v>55</v>
      </c>
      <c r="H38" s="19">
        <v>500000</v>
      </c>
      <c r="I38" s="13">
        <v>2500</v>
      </c>
      <c r="J38" s="19">
        <v>0.3</v>
      </c>
      <c r="K38" s="19">
        <f t="shared" si="3"/>
        <v>750</v>
      </c>
      <c r="L38" s="53"/>
      <c r="M38" s="53"/>
      <c r="N38" s="129"/>
      <c r="O38" s="53"/>
      <c r="P38" s="53"/>
      <c r="Q38" s="53"/>
      <c r="R38" s="110"/>
    </row>
    <row r="39" spans="2:18" ht="15" thickBot="1" x14ac:dyDescent="0.4">
      <c r="B39" s="99"/>
      <c r="C39" s="56"/>
      <c r="D39" s="56"/>
      <c r="E39" s="56"/>
      <c r="F39" s="56"/>
      <c r="G39" s="15" t="s">
        <v>52</v>
      </c>
      <c r="H39" s="20">
        <v>0</v>
      </c>
      <c r="I39" s="15">
        <v>0</v>
      </c>
      <c r="J39" s="20">
        <v>0</v>
      </c>
      <c r="K39" s="20">
        <v>1500</v>
      </c>
      <c r="L39" s="66"/>
      <c r="M39" s="66"/>
      <c r="N39" s="130"/>
      <c r="O39" s="66"/>
      <c r="P39" s="66"/>
      <c r="Q39" s="66"/>
      <c r="R39" s="114"/>
    </row>
    <row r="40" spans="2:18" ht="15" thickBot="1" x14ac:dyDescent="0.4">
      <c r="B40" s="101" t="s">
        <v>59</v>
      </c>
      <c r="C40" s="6" t="s">
        <v>57</v>
      </c>
      <c r="D40" s="7">
        <v>0</v>
      </c>
      <c r="E40" s="7">
        <v>0</v>
      </c>
      <c r="F40" s="7">
        <v>0</v>
      </c>
      <c r="G40" s="17" t="s">
        <v>12</v>
      </c>
      <c r="H40" s="7">
        <v>20000</v>
      </c>
      <c r="I40" s="17">
        <v>0</v>
      </c>
      <c r="J40" s="7">
        <v>0</v>
      </c>
      <c r="K40" s="7">
        <v>2000</v>
      </c>
      <c r="L40" s="17" t="s">
        <v>58</v>
      </c>
      <c r="M40" s="7">
        <v>150</v>
      </c>
      <c r="N40" s="141">
        <v>2</v>
      </c>
      <c r="O40" s="33"/>
      <c r="P40" s="46">
        <v>0</v>
      </c>
      <c r="Q40" s="7">
        <v>0.33</v>
      </c>
      <c r="R40" s="159">
        <f t="shared" ref="R40:R48" si="4">(O40/M40)*N40*Q40</f>
        <v>0</v>
      </c>
    </row>
    <row r="41" spans="2:18" x14ac:dyDescent="0.35">
      <c r="B41" s="100" t="s">
        <v>73</v>
      </c>
      <c r="C41" s="55" t="s">
        <v>60</v>
      </c>
      <c r="D41" s="58">
        <v>0</v>
      </c>
      <c r="E41" s="58">
        <v>0</v>
      </c>
      <c r="F41" s="58">
        <v>0</v>
      </c>
      <c r="G41" s="64" t="s">
        <v>61</v>
      </c>
      <c r="H41" s="58">
        <v>0</v>
      </c>
      <c r="I41" s="64">
        <v>0</v>
      </c>
      <c r="J41" s="58">
        <v>0</v>
      </c>
      <c r="K41" s="58">
        <v>0</v>
      </c>
      <c r="L41" s="12" t="s">
        <v>62</v>
      </c>
      <c r="M41" s="18">
        <v>100</v>
      </c>
      <c r="N41" s="136">
        <v>5</v>
      </c>
      <c r="O41" s="34"/>
      <c r="P41" s="44">
        <v>0</v>
      </c>
      <c r="Q41" s="18">
        <v>1</v>
      </c>
      <c r="R41" s="118">
        <f t="shared" si="4"/>
        <v>0</v>
      </c>
    </row>
    <row r="42" spans="2:18" x14ac:dyDescent="0.35">
      <c r="B42" s="98"/>
      <c r="C42" s="56"/>
      <c r="D42" s="56"/>
      <c r="E42" s="56"/>
      <c r="F42" s="56"/>
      <c r="G42" s="56"/>
      <c r="H42" s="56"/>
      <c r="I42" s="56"/>
      <c r="J42" s="56"/>
      <c r="K42" s="56"/>
      <c r="L42" s="13" t="s">
        <v>63</v>
      </c>
      <c r="M42" s="19">
        <v>100</v>
      </c>
      <c r="N42" s="137">
        <v>2</v>
      </c>
      <c r="O42" s="35"/>
      <c r="P42" s="48">
        <v>0</v>
      </c>
      <c r="Q42" s="19">
        <v>1</v>
      </c>
      <c r="R42" s="119">
        <f t="shared" si="4"/>
        <v>0</v>
      </c>
    </row>
    <row r="43" spans="2:18" ht="15" thickBot="1" x14ac:dyDescent="0.4">
      <c r="B43" s="98"/>
      <c r="C43" s="57"/>
      <c r="D43" s="57"/>
      <c r="E43" s="57"/>
      <c r="F43" s="57"/>
      <c r="G43" s="57"/>
      <c r="H43" s="57"/>
      <c r="I43" s="57"/>
      <c r="J43" s="57"/>
      <c r="K43" s="57"/>
      <c r="L43" s="24" t="s">
        <v>36</v>
      </c>
      <c r="M43" s="22">
        <v>100</v>
      </c>
      <c r="N43" s="142">
        <v>1</v>
      </c>
      <c r="O43" s="36"/>
      <c r="P43" s="47">
        <v>0</v>
      </c>
      <c r="Q43" s="22">
        <v>1</v>
      </c>
      <c r="R43" s="126">
        <f t="shared" si="4"/>
        <v>0</v>
      </c>
    </row>
    <row r="44" spans="2:18" x14ac:dyDescent="0.35">
      <c r="B44" s="98"/>
      <c r="C44" s="55" t="s">
        <v>64</v>
      </c>
      <c r="D44" s="58">
        <f>1.18*500</f>
        <v>590</v>
      </c>
      <c r="E44" s="58">
        <f>1.18*500</f>
        <v>590</v>
      </c>
      <c r="F44" s="58">
        <v>150000</v>
      </c>
      <c r="G44" s="12" t="s">
        <v>52</v>
      </c>
      <c r="H44" s="18">
        <v>0</v>
      </c>
      <c r="I44" s="12">
        <v>0</v>
      </c>
      <c r="J44" s="18">
        <v>0</v>
      </c>
      <c r="K44" s="18">
        <v>1500</v>
      </c>
      <c r="L44" s="12" t="s">
        <v>66</v>
      </c>
      <c r="M44" s="18">
        <v>500</v>
      </c>
      <c r="N44" s="136">
        <f>250/0.25</f>
        <v>1000</v>
      </c>
      <c r="O44" s="34"/>
      <c r="P44" s="44">
        <v>0</v>
      </c>
      <c r="Q44" s="18">
        <v>0.25</v>
      </c>
      <c r="R44" s="118">
        <f t="shared" si="4"/>
        <v>0</v>
      </c>
    </row>
    <row r="45" spans="2:18" ht="15" thickBot="1" x14ac:dyDescent="0.4">
      <c r="B45" s="98"/>
      <c r="C45" s="56"/>
      <c r="D45" s="56"/>
      <c r="E45" s="56"/>
      <c r="F45" s="56"/>
      <c r="G45" s="15" t="s">
        <v>65</v>
      </c>
      <c r="H45" s="20">
        <v>0</v>
      </c>
      <c r="I45" s="15">
        <v>0</v>
      </c>
      <c r="J45" s="20">
        <v>0</v>
      </c>
      <c r="K45" s="20">
        <v>250</v>
      </c>
      <c r="L45" s="15" t="s">
        <v>36</v>
      </c>
      <c r="M45" s="20">
        <v>100</v>
      </c>
      <c r="N45" s="138">
        <v>2</v>
      </c>
      <c r="O45" s="37"/>
      <c r="P45" s="43">
        <v>0</v>
      </c>
      <c r="Q45" s="20">
        <v>0.25</v>
      </c>
      <c r="R45" s="120">
        <f t="shared" si="4"/>
        <v>0</v>
      </c>
    </row>
    <row r="46" spans="2:18" x14ac:dyDescent="0.35">
      <c r="B46" s="98"/>
      <c r="C46" s="55" t="s">
        <v>67</v>
      </c>
      <c r="D46" s="58">
        <v>500</v>
      </c>
      <c r="E46" s="58">
        <v>0</v>
      </c>
      <c r="F46" s="58">
        <v>0</v>
      </c>
      <c r="G46" s="12" t="s">
        <v>12</v>
      </c>
      <c r="H46" s="18">
        <v>0</v>
      </c>
      <c r="I46" s="12">
        <v>0</v>
      </c>
      <c r="J46" s="18">
        <v>0</v>
      </c>
      <c r="K46" s="18">
        <v>500</v>
      </c>
      <c r="L46" s="12" t="s">
        <v>68</v>
      </c>
      <c r="M46" s="18">
        <v>200</v>
      </c>
      <c r="N46" s="136">
        <v>2</v>
      </c>
      <c r="O46" s="34"/>
      <c r="P46" s="44">
        <v>0</v>
      </c>
      <c r="Q46" s="18">
        <v>1</v>
      </c>
      <c r="R46" s="118">
        <f t="shared" si="4"/>
        <v>0</v>
      </c>
    </row>
    <row r="47" spans="2:18" x14ac:dyDescent="0.35">
      <c r="B47" s="98"/>
      <c r="C47" s="56"/>
      <c r="D47" s="59"/>
      <c r="E47" s="59"/>
      <c r="F47" s="59"/>
      <c r="G47" s="13" t="s">
        <v>69</v>
      </c>
      <c r="H47" s="19">
        <v>5000</v>
      </c>
      <c r="I47" s="13">
        <v>1250</v>
      </c>
      <c r="J47" s="19">
        <v>1</v>
      </c>
      <c r="K47" s="19">
        <f>J47*I47</f>
        <v>1250</v>
      </c>
      <c r="L47" s="13" t="s">
        <v>71</v>
      </c>
      <c r="M47" s="19">
        <v>200</v>
      </c>
      <c r="N47" s="137">
        <v>3</v>
      </c>
      <c r="O47" s="35"/>
      <c r="P47" s="48">
        <v>0</v>
      </c>
      <c r="Q47" s="19">
        <v>1</v>
      </c>
      <c r="R47" s="119">
        <f t="shared" si="4"/>
        <v>0</v>
      </c>
    </row>
    <row r="48" spans="2:18" x14ac:dyDescent="0.35">
      <c r="B48" s="98"/>
      <c r="C48" s="56"/>
      <c r="D48" s="59"/>
      <c r="E48" s="59"/>
      <c r="F48" s="59"/>
      <c r="G48" s="13" t="s">
        <v>70</v>
      </c>
      <c r="H48" s="19">
        <v>7500</v>
      </c>
      <c r="I48" s="13">
        <v>1500</v>
      </c>
      <c r="J48" s="19">
        <v>1</v>
      </c>
      <c r="K48" s="19">
        <f>J48*I48</f>
        <v>1500</v>
      </c>
      <c r="L48" s="61" t="s">
        <v>72</v>
      </c>
      <c r="M48" s="52">
        <v>200</v>
      </c>
      <c r="N48" s="143">
        <v>1</v>
      </c>
      <c r="O48" s="35"/>
      <c r="P48" s="63">
        <v>0</v>
      </c>
      <c r="Q48" s="52">
        <v>1</v>
      </c>
      <c r="R48" s="117">
        <f t="shared" si="4"/>
        <v>0</v>
      </c>
    </row>
    <row r="49" spans="2:18" x14ac:dyDescent="0.35">
      <c r="B49" s="98"/>
      <c r="C49" s="56"/>
      <c r="D49" s="59"/>
      <c r="E49" s="59"/>
      <c r="F49" s="59"/>
      <c r="G49" s="13" t="s">
        <v>52</v>
      </c>
      <c r="H49" s="19">
        <v>0</v>
      </c>
      <c r="I49" s="13">
        <v>0</v>
      </c>
      <c r="J49" s="19">
        <v>0</v>
      </c>
      <c r="K49" s="19">
        <v>1500</v>
      </c>
      <c r="L49" s="61"/>
      <c r="M49" s="53"/>
      <c r="N49" s="129"/>
      <c r="O49" s="35"/>
      <c r="P49" s="53"/>
      <c r="Q49" s="53"/>
      <c r="R49" s="110"/>
    </row>
    <row r="50" spans="2:18" ht="15" thickBot="1" x14ac:dyDescent="0.4">
      <c r="B50" s="99"/>
      <c r="C50" s="56"/>
      <c r="D50" s="59"/>
      <c r="E50" s="59"/>
      <c r="F50" s="59"/>
      <c r="G50" s="15" t="s">
        <v>65</v>
      </c>
      <c r="H50" s="20">
        <v>0</v>
      </c>
      <c r="I50" s="15">
        <v>0</v>
      </c>
      <c r="J50" s="20">
        <v>0</v>
      </c>
      <c r="K50" s="20">
        <v>250</v>
      </c>
      <c r="L50" s="90"/>
      <c r="M50" s="66"/>
      <c r="N50" s="130"/>
      <c r="O50" s="37"/>
      <c r="P50" s="66"/>
      <c r="Q50" s="66"/>
      <c r="R50" s="114"/>
    </row>
    <row r="51" spans="2:18" ht="15" thickBot="1" x14ac:dyDescent="0.4">
      <c r="B51" s="102" t="s">
        <v>75</v>
      </c>
      <c r="C51" s="4" t="s">
        <v>74</v>
      </c>
      <c r="D51" s="116">
        <v>899</v>
      </c>
      <c r="E51" s="116">
        <v>0</v>
      </c>
      <c r="F51" s="116">
        <v>0</v>
      </c>
      <c r="G51" s="38" t="s">
        <v>61</v>
      </c>
      <c r="H51" s="116">
        <v>0</v>
      </c>
      <c r="I51" s="8">
        <v>0</v>
      </c>
      <c r="J51" s="116">
        <v>0</v>
      </c>
      <c r="K51" s="116">
        <v>0</v>
      </c>
      <c r="L51" s="8" t="s">
        <v>36</v>
      </c>
      <c r="M51" s="116">
        <v>100</v>
      </c>
      <c r="N51" s="144">
        <v>0.5</v>
      </c>
      <c r="O51" s="152"/>
      <c r="P51" s="157">
        <v>0</v>
      </c>
      <c r="Q51" s="116">
        <v>0.5</v>
      </c>
      <c r="R51" s="160">
        <f t="shared" ref="R51:R55" si="5">(O51/M51)*N51*Q51</f>
        <v>0</v>
      </c>
    </row>
    <row r="52" spans="2:18" x14ac:dyDescent="0.35">
      <c r="B52" s="103" t="s">
        <v>85</v>
      </c>
      <c r="C52" s="55" t="s">
        <v>76</v>
      </c>
      <c r="D52" s="58">
        <f>1.18*5000</f>
        <v>5900</v>
      </c>
      <c r="E52" s="58">
        <f>1.18*5000</f>
        <v>5900</v>
      </c>
      <c r="F52" s="58">
        <v>1000000</v>
      </c>
      <c r="G52" s="12" t="s">
        <v>12</v>
      </c>
      <c r="H52" s="18">
        <v>0</v>
      </c>
      <c r="I52" s="12">
        <v>0</v>
      </c>
      <c r="J52" s="18">
        <v>0</v>
      </c>
      <c r="K52" s="18">
        <v>5000</v>
      </c>
      <c r="L52" s="12" t="s">
        <v>78</v>
      </c>
      <c r="M52" s="18">
        <v>500</v>
      </c>
      <c r="N52" s="145">
        <v>2000</v>
      </c>
      <c r="O52" s="153"/>
      <c r="P52" s="44">
        <v>0</v>
      </c>
      <c r="Q52" s="18">
        <v>0.25</v>
      </c>
      <c r="R52" s="118">
        <f t="shared" si="5"/>
        <v>0</v>
      </c>
    </row>
    <row r="53" spans="2:18" x14ac:dyDescent="0.35">
      <c r="B53" s="104"/>
      <c r="C53" s="56"/>
      <c r="D53" s="56"/>
      <c r="E53" s="56"/>
      <c r="F53" s="56"/>
      <c r="G53" s="13" t="s">
        <v>54</v>
      </c>
      <c r="H53" s="19">
        <v>300000</v>
      </c>
      <c r="I53" s="13">
        <v>10000</v>
      </c>
      <c r="J53" s="19">
        <v>0.25</v>
      </c>
      <c r="K53" s="19">
        <f>J53*I53</f>
        <v>2500</v>
      </c>
      <c r="L53" s="13" t="s">
        <v>79</v>
      </c>
      <c r="M53" s="19">
        <v>100</v>
      </c>
      <c r="N53" s="146">
        <v>10</v>
      </c>
      <c r="O53" s="154"/>
      <c r="P53" s="48">
        <v>0</v>
      </c>
      <c r="Q53" s="19">
        <v>0.25</v>
      </c>
      <c r="R53" s="119">
        <f t="shared" si="5"/>
        <v>0</v>
      </c>
    </row>
    <row r="54" spans="2:18" x14ac:dyDescent="0.35">
      <c r="B54" s="104"/>
      <c r="C54" s="56"/>
      <c r="D54" s="56"/>
      <c r="E54" s="56"/>
      <c r="F54" s="56"/>
      <c r="G54" s="13" t="s">
        <v>77</v>
      </c>
      <c r="H54" s="19">
        <v>400000</v>
      </c>
      <c r="I54" s="13">
        <v>10000</v>
      </c>
      <c r="J54" s="19">
        <v>0.25</v>
      </c>
      <c r="K54" s="19">
        <f>J54*I54</f>
        <v>2500</v>
      </c>
      <c r="L54" s="13" t="s">
        <v>35</v>
      </c>
      <c r="M54" s="19">
        <v>100</v>
      </c>
      <c r="N54" s="146">
        <v>10</v>
      </c>
      <c r="O54" s="154"/>
      <c r="P54" s="48">
        <v>0</v>
      </c>
      <c r="Q54" s="19">
        <v>0.25</v>
      </c>
      <c r="R54" s="119">
        <f t="shared" si="5"/>
        <v>0</v>
      </c>
    </row>
    <row r="55" spans="2:18" x14ac:dyDescent="0.35">
      <c r="B55" s="104"/>
      <c r="C55" s="56"/>
      <c r="D55" s="56"/>
      <c r="E55" s="56"/>
      <c r="F55" s="56"/>
      <c r="G55" s="13" t="s">
        <v>50</v>
      </c>
      <c r="H55" s="19">
        <v>500000</v>
      </c>
      <c r="I55" s="13">
        <v>15000</v>
      </c>
      <c r="J55" s="19">
        <v>0.25</v>
      </c>
      <c r="K55" s="19">
        <f t="shared" ref="K55:K56" si="6">J55*I55</f>
        <v>3750</v>
      </c>
      <c r="L55" s="61" t="s">
        <v>36</v>
      </c>
      <c r="M55" s="52">
        <v>100</v>
      </c>
      <c r="N55" s="147">
        <v>2</v>
      </c>
      <c r="O55" s="154"/>
      <c r="P55" s="63">
        <v>0</v>
      </c>
      <c r="Q55" s="52">
        <v>0.25</v>
      </c>
      <c r="R55" s="117">
        <f t="shared" si="5"/>
        <v>0</v>
      </c>
    </row>
    <row r="56" spans="2:18" x14ac:dyDescent="0.35">
      <c r="B56" s="104"/>
      <c r="C56" s="56"/>
      <c r="D56" s="56"/>
      <c r="E56" s="56"/>
      <c r="F56" s="56"/>
      <c r="G56" s="13" t="s">
        <v>51</v>
      </c>
      <c r="H56" s="19">
        <v>800000</v>
      </c>
      <c r="I56" s="13">
        <v>15000</v>
      </c>
      <c r="J56" s="19">
        <v>0.25</v>
      </c>
      <c r="K56" s="19">
        <f t="shared" si="6"/>
        <v>3750</v>
      </c>
      <c r="L56" s="61"/>
      <c r="M56" s="53"/>
      <c r="N56" s="148"/>
      <c r="O56" s="154"/>
      <c r="P56" s="53"/>
      <c r="Q56" s="52"/>
      <c r="R56" s="110"/>
    </row>
    <row r="57" spans="2:18" x14ac:dyDescent="0.35">
      <c r="B57" s="104"/>
      <c r="C57" s="56"/>
      <c r="D57" s="56"/>
      <c r="E57" s="56"/>
      <c r="F57" s="56"/>
      <c r="G57" s="13" t="s">
        <v>52</v>
      </c>
      <c r="H57" s="19">
        <v>0</v>
      </c>
      <c r="I57" s="13">
        <v>0</v>
      </c>
      <c r="J57" s="19">
        <v>0</v>
      </c>
      <c r="K57" s="19">
        <v>1500</v>
      </c>
      <c r="L57" s="61"/>
      <c r="M57" s="53"/>
      <c r="N57" s="148"/>
      <c r="O57" s="154"/>
      <c r="P57" s="53"/>
      <c r="Q57" s="52"/>
      <c r="R57" s="110"/>
    </row>
    <row r="58" spans="2:18" ht="15" thickBot="1" x14ac:dyDescent="0.4">
      <c r="B58" s="104"/>
      <c r="C58" s="56"/>
      <c r="D58" s="56"/>
      <c r="E58" s="56"/>
      <c r="F58" s="56"/>
      <c r="G58" s="15" t="s">
        <v>65</v>
      </c>
      <c r="H58" s="20">
        <v>0</v>
      </c>
      <c r="I58" s="15">
        <v>0</v>
      </c>
      <c r="J58" s="20">
        <v>0</v>
      </c>
      <c r="K58" s="20">
        <v>250</v>
      </c>
      <c r="L58" s="90"/>
      <c r="M58" s="66"/>
      <c r="N58" s="149"/>
      <c r="O58" s="155"/>
      <c r="P58" s="66"/>
      <c r="Q58" s="72"/>
      <c r="R58" s="114"/>
    </row>
    <row r="59" spans="2:18" x14ac:dyDescent="0.35">
      <c r="B59" s="104"/>
      <c r="C59" s="55" t="s">
        <v>80</v>
      </c>
      <c r="D59" s="58">
        <f>1.18*3000</f>
        <v>3540</v>
      </c>
      <c r="E59" s="58">
        <f>1.18*3000</f>
        <v>3540</v>
      </c>
      <c r="F59" s="58">
        <v>300000</v>
      </c>
      <c r="G59" s="12" t="s">
        <v>12</v>
      </c>
      <c r="H59" s="18">
        <v>0</v>
      </c>
      <c r="I59" s="12">
        <v>0</v>
      </c>
      <c r="J59" s="18">
        <v>0</v>
      </c>
      <c r="K59" s="18">
        <v>3500</v>
      </c>
      <c r="L59" s="12" t="s">
        <v>81</v>
      </c>
      <c r="M59" s="18">
        <v>100</v>
      </c>
      <c r="N59" s="145">
        <v>15</v>
      </c>
      <c r="O59" s="153"/>
      <c r="P59" s="44">
        <v>0</v>
      </c>
      <c r="Q59" s="18">
        <v>0.25</v>
      </c>
      <c r="R59" s="118">
        <f t="shared" ref="R59:R61" si="7">(O59/M59)*N59*Q59</f>
        <v>0</v>
      </c>
    </row>
    <row r="60" spans="2:18" x14ac:dyDescent="0.35">
      <c r="B60" s="104"/>
      <c r="C60" s="56"/>
      <c r="D60" s="56"/>
      <c r="E60" s="56"/>
      <c r="F60" s="56"/>
      <c r="G60" s="13" t="s">
        <v>47</v>
      </c>
      <c r="H60" s="19">
        <v>50000</v>
      </c>
      <c r="I60" s="13">
        <v>0</v>
      </c>
      <c r="J60" s="19">
        <v>0</v>
      </c>
      <c r="K60" s="19">
        <v>1000</v>
      </c>
      <c r="L60" s="13" t="s">
        <v>79</v>
      </c>
      <c r="M60" s="19">
        <v>100</v>
      </c>
      <c r="N60" s="146">
        <v>10</v>
      </c>
      <c r="O60" s="154"/>
      <c r="P60" s="48">
        <v>0</v>
      </c>
      <c r="Q60" s="19">
        <v>0.25</v>
      </c>
      <c r="R60" s="119">
        <f t="shared" si="7"/>
        <v>0</v>
      </c>
    </row>
    <row r="61" spans="2:18" x14ac:dyDescent="0.35">
      <c r="B61" s="104"/>
      <c r="C61" s="56"/>
      <c r="D61" s="56"/>
      <c r="E61" s="56"/>
      <c r="F61" s="56"/>
      <c r="G61" s="13" t="s">
        <v>50</v>
      </c>
      <c r="H61" s="19">
        <v>500000</v>
      </c>
      <c r="I61" s="13">
        <v>0</v>
      </c>
      <c r="J61" s="19">
        <v>0</v>
      </c>
      <c r="K61" s="19">
        <v>7000</v>
      </c>
      <c r="L61" s="13" t="s">
        <v>35</v>
      </c>
      <c r="M61" s="19">
        <v>100</v>
      </c>
      <c r="N61" s="146">
        <v>10</v>
      </c>
      <c r="O61" s="154"/>
      <c r="P61" s="48">
        <v>0</v>
      </c>
      <c r="Q61" s="19">
        <v>0.25</v>
      </c>
      <c r="R61" s="119">
        <f t="shared" si="7"/>
        <v>0</v>
      </c>
    </row>
    <row r="62" spans="2:18" x14ac:dyDescent="0.35">
      <c r="B62" s="104"/>
      <c r="C62" s="56"/>
      <c r="D62" s="56"/>
      <c r="E62" s="56"/>
      <c r="F62" s="56"/>
      <c r="G62" s="13" t="s">
        <v>52</v>
      </c>
      <c r="H62" s="19">
        <v>0</v>
      </c>
      <c r="I62" s="13">
        <v>0</v>
      </c>
      <c r="J62" s="19">
        <v>0</v>
      </c>
      <c r="K62" s="19">
        <v>1500</v>
      </c>
      <c r="L62" s="13" t="s">
        <v>83</v>
      </c>
      <c r="M62" s="19">
        <v>100</v>
      </c>
      <c r="N62" s="146">
        <v>20</v>
      </c>
      <c r="O62" s="154"/>
      <c r="P62" s="48">
        <v>0</v>
      </c>
      <c r="Q62" s="19">
        <v>0.25</v>
      </c>
      <c r="R62" s="119">
        <f t="shared" ref="R62:R65" si="8">(O62/M62)*N62*Q62</f>
        <v>0</v>
      </c>
    </row>
    <row r="63" spans="2:18" ht="15" thickBot="1" x14ac:dyDescent="0.4">
      <c r="B63" s="104"/>
      <c r="C63" s="56"/>
      <c r="D63" s="56"/>
      <c r="E63" s="56"/>
      <c r="F63" s="56"/>
      <c r="G63" s="15" t="s">
        <v>65</v>
      </c>
      <c r="H63" s="20">
        <v>0</v>
      </c>
      <c r="I63" s="15">
        <v>0</v>
      </c>
      <c r="J63" s="20">
        <v>0</v>
      </c>
      <c r="K63" s="20">
        <v>250</v>
      </c>
      <c r="L63" s="15" t="s">
        <v>36</v>
      </c>
      <c r="M63" s="20">
        <v>100</v>
      </c>
      <c r="N63" s="150">
        <v>2</v>
      </c>
      <c r="O63" s="155"/>
      <c r="P63" s="43">
        <v>0</v>
      </c>
      <c r="Q63" s="20">
        <v>0.25</v>
      </c>
      <c r="R63" s="120">
        <f t="shared" si="8"/>
        <v>0</v>
      </c>
    </row>
    <row r="64" spans="2:18" x14ac:dyDescent="0.35">
      <c r="B64" s="104"/>
      <c r="C64" s="55" t="s">
        <v>84</v>
      </c>
      <c r="D64" s="58">
        <f>1.18*499</f>
        <v>588.81999999999994</v>
      </c>
      <c r="E64" s="58">
        <f>1.18*499</f>
        <v>588.81999999999994</v>
      </c>
      <c r="F64" s="58">
        <v>100000</v>
      </c>
      <c r="G64" s="64" t="s">
        <v>12</v>
      </c>
      <c r="H64" s="58">
        <v>2000</v>
      </c>
      <c r="I64" s="64">
        <v>2000</v>
      </c>
      <c r="J64" s="58">
        <v>0.25</v>
      </c>
      <c r="K64" s="58">
        <f>J64*H64</f>
        <v>500</v>
      </c>
      <c r="L64" s="12" t="s">
        <v>79</v>
      </c>
      <c r="M64" s="18">
        <v>100</v>
      </c>
      <c r="N64" s="145">
        <v>10</v>
      </c>
      <c r="O64" s="153"/>
      <c r="P64" s="44">
        <v>0</v>
      </c>
      <c r="Q64" s="18">
        <v>0.25</v>
      </c>
      <c r="R64" s="118">
        <f t="shared" si="8"/>
        <v>0</v>
      </c>
    </row>
    <row r="65" spans="2:18" x14ac:dyDescent="0.35">
      <c r="B65" s="104"/>
      <c r="C65" s="56"/>
      <c r="D65" s="56"/>
      <c r="E65" s="56"/>
      <c r="F65" s="56"/>
      <c r="G65" s="56"/>
      <c r="H65" s="56"/>
      <c r="I65" s="56"/>
      <c r="J65" s="56"/>
      <c r="K65" s="56"/>
      <c r="L65" s="13" t="s">
        <v>35</v>
      </c>
      <c r="M65" s="19">
        <v>100</v>
      </c>
      <c r="N65" s="146">
        <v>10</v>
      </c>
      <c r="O65" s="154"/>
      <c r="P65" s="48">
        <v>0</v>
      </c>
      <c r="Q65" s="19">
        <v>0.25</v>
      </c>
      <c r="R65" s="119">
        <f t="shared" si="8"/>
        <v>0</v>
      </c>
    </row>
    <row r="66" spans="2:18" ht="15" thickBot="1" x14ac:dyDescent="0.4">
      <c r="B66" s="105"/>
      <c r="C66" s="57"/>
      <c r="D66" s="57"/>
      <c r="E66" s="57"/>
      <c r="F66" s="57"/>
      <c r="G66" s="57"/>
      <c r="H66" s="57"/>
      <c r="I66" s="57"/>
      <c r="J66" s="57"/>
      <c r="K66" s="57"/>
      <c r="L66" s="24" t="s">
        <v>36</v>
      </c>
      <c r="M66" s="22">
        <v>100</v>
      </c>
      <c r="N66" s="151">
        <v>1</v>
      </c>
      <c r="O66" s="156"/>
      <c r="P66" s="47">
        <v>0</v>
      </c>
      <c r="Q66" s="22">
        <v>0.25</v>
      </c>
      <c r="R66" s="126">
        <f t="shared" ref="R66:R67" si="9">(O66/M66)*N66*Q66</f>
        <v>0</v>
      </c>
    </row>
    <row r="67" spans="2:18" x14ac:dyDescent="0.35">
      <c r="B67" s="106" t="s">
        <v>87</v>
      </c>
      <c r="C67" s="55" t="s">
        <v>86</v>
      </c>
      <c r="D67" s="58">
        <f>1.18*250</f>
        <v>295</v>
      </c>
      <c r="E67" s="58">
        <f>1.18*250</f>
        <v>295</v>
      </c>
      <c r="F67" s="58">
        <v>60000</v>
      </c>
      <c r="G67" s="64" t="s">
        <v>12</v>
      </c>
      <c r="H67" s="58">
        <v>500</v>
      </c>
      <c r="I67" s="64">
        <v>0</v>
      </c>
      <c r="J67" s="58">
        <v>0</v>
      </c>
      <c r="K67" s="58">
        <v>500</v>
      </c>
      <c r="L67" s="12" t="s">
        <v>79</v>
      </c>
      <c r="M67" s="18">
        <v>150</v>
      </c>
      <c r="N67" s="145">
        <v>5</v>
      </c>
      <c r="O67" s="153"/>
      <c r="P67" s="44">
        <v>0</v>
      </c>
      <c r="Q67" s="18">
        <v>0.25</v>
      </c>
      <c r="R67" s="118">
        <f t="shared" si="9"/>
        <v>0</v>
      </c>
    </row>
    <row r="68" spans="2:18" x14ac:dyDescent="0.35">
      <c r="B68" s="107"/>
      <c r="C68" s="56"/>
      <c r="D68" s="56"/>
      <c r="E68" s="56"/>
      <c r="F68" s="56"/>
      <c r="G68" s="56"/>
      <c r="H68" s="56"/>
      <c r="I68" s="56"/>
      <c r="J68" s="56"/>
      <c r="K68" s="56"/>
      <c r="L68" s="13" t="s">
        <v>34</v>
      </c>
      <c r="M68" s="19">
        <v>150</v>
      </c>
      <c r="N68" s="146">
        <v>5</v>
      </c>
      <c r="O68" s="154"/>
      <c r="P68" s="48">
        <v>0</v>
      </c>
      <c r="Q68" s="19">
        <v>0.25</v>
      </c>
      <c r="R68" s="119">
        <f t="shared" ref="R68:R71" si="10">(O68/M68)*N68*Q68</f>
        <v>0</v>
      </c>
    </row>
    <row r="69" spans="2:18" ht="15" thickBot="1" x14ac:dyDescent="0.4">
      <c r="B69" s="107"/>
      <c r="C69" s="56"/>
      <c r="D69" s="56"/>
      <c r="E69" s="56"/>
      <c r="F69" s="56"/>
      <c r="G69" s="56"/>
      <c r="H69" s="56"/>
      <c r="I69" s="56"/>
      <c r="J69" s="56"/>
      <c r="K69" s="56"/>
      <c r="L69" s="15" t="s">
        <v>36</v>
      </c>
      <c r="M69" s="20">
        <v>150</v>
      </c>
      <c r="N69" s="150">
        <v>1</v>
      </c>
      <c r="O69" s="155"/>
      <c r="P69" s="43">
        <v>0</v>
      </c>
      <c r="Q69" s="20">
        <v>0.25</v>
      </c>
      <c r="R69" s="120">
        <f t="shared" si="10"/>
        <v>0</v>
      </c>
    </row>
    <row r="70" spans="2:18" x14ac:dyDescent="0.35">
      <c r="B70" s="100" t="s">
        <v>90</v>
      </c>
      <c r="C70" s="55" t="s">
        <v>91</v>
      </c>
      <c r="D70" s="58">
        <f>1.18*350</f>
        <v>413</v>
      </c>
      <c r="E70" s="58">
        <f>1.18*350</f>
        <v>413</v>
      </c>
      <c r="F70" s="58">
        <v>25000</v>
      </c>
      <c r="G70" s="64" t="s">
        <v>88</v>
      </c>
      <c r="H70" s="58">
        <v>360000</v>
      </c>
      <c r="I70" s="64">
        <v>12000</v>
      </c>
      <c r="J70" s="58">
        <v>0.25</v>
      </c>
      <c r="K70" s="58">
        <f>J70*I70</f>
        <v>3000</v>
      </c>
      <c r="L70" s="12" t="s">
        <v>89</v>
      </c>
      <c r="M70" s="18">
        <v>100</v>
      </c>
      <c r="N70" s="145">
        <v>3</v>
      </c>
      <c r="O70" s="153"/>
      <c r="P70" s="44">
        <v>0</v>
      </c>
      <c r="Q70" s="18">
        <v>0.25</v>
      </c>
      <c r="R70" s="118">
        <f t="shared" si="10"/>
        <v>0</v>
      </c>
    </row>
    <row r="71" spans="2:18" ht="15" thickBot="1" x14ac:dyDescent="0.4">
      <c r="B71" s="99"/>
      <c r="C71" s="57"/>
      <c r="D71" s="57"/>
      <c r="E71" s="57"/>
      <c r="F71" s="57"/>
      <c r="G71" s="57"/>
      <c r="H71" s="57"/>
      <c r="I71" s="57"/>
      <c r="J71" s="57"/>
      <c r="K71" s="57"/>
      <c r="L71" s="24" t="s">
        <v>36</v>
      </c>
      <c r="M71" s="22">
        <v>100</v>
      </c>
      <c r="N71" s="151">
        <v>2</v>
      </c>
      <c r="O71" s="156"/>
      <c r="P71" s="47">
        <v>0</v>
      </c>
      <c r="Q71" s="22">
        <v>0.25</v>
      </c>
      <c r="R71" s="126">
        <f t="shared" si="10"/>
        <v>0</v>
      </c>
    </row>
  </sheetData>
  <mergeCells count="161">
    <mergeCell ref="K67:K69"/>
    <mergeCell ref="B67:B69"/>
    <mergeCell ref="B70:B71"/>
    <mergeCell ref="C70:C71"/>
    <mergeCell ref="D70:D71"/>
    <mergeCell ref="E70:E71"/>
    <mergeCell ref="F70:F71"/>
    <mergeCell ref="G70:G71"/>
    <mergeCell ref="H70:H71"/>
    <mergeCell ref="I70:I71"/>
    <mergeCell ref="J70:J71"/>
    <mergeCell ref="K70:K71"/>
    <mergeCell ref="B52:B66"/>
    <mergeCell ref="C67:C69"/>
    <mergeCell ref="D67:D69"/>
    <mergeCell ref="E67:E69"/>
    <mergeCell ref="F67:F69"/>
    <mergeCell ref="G67:G69"/>
    <mergeCell ref="H67:H69"/>
    <mergeCell ref="I67:I69"/>
    <mergeCell ref="J67:J69"/>
    <mergeCell ref="C64:C66"/>
    <mergeCell ref="D64:D66"/>
    <mergeCell ref="E64:E66"/>
    <mergeCell ref="F64:F66"/>
    <mergeCell ref="G64:G66"/>
    <mergeCell ref="H64:H66"/>
    <mergeCell ref="I64:I66"/>
    <mergeCell ref="J64:J66"/>
    <mergeCell ref="K64:K66"/>
    <mergeCell ref="P55:P58"/>
    <mergeCell ref="Q55:Q58"/>
    <mergeCell ref="R55:R58"/>
    <mergeCell ref="C52:C58"/>
    <mergeCell ref="D52:D58"/>
    <mergeCell ref="E52:E58"/>
    <mergeCell ref="F52:F58"/>
    <mergeCell ref="C59:C63"/>
    <mergeCell ref="D59:D63"/>
    <mergeCell ref="E59:E63"/>
    <mergeCell ref="F59:F63"/>
    <mergeCell ref="G2:K2"/>
    <mergeCell ref="F4:F8"/>
    <mergeCell ref="C4:C8"/>
    <mergeCell ref="D4:D8"/>
    <mergeCell ref="E4:E8"/>
    <mergeCell ref="L55:L58"/>
    <mergeCell ref="M55:M58"/>
    <mergeCell ref="N55:N58"/>
    <mergeCell ref="Q4:Q6"/>
    <mergeCell ref="R4:R6"/>
    <mergeCell ref="R7:R8"/>
    <mergeCell ref="Q7:Q8"/>
    <mergeCell ref="P7:P8"/>
    <mergeCell ref="C19:C21"/>
    <mergeCell ref="D19:D21"/>
    <mergeCell ref="E19:E21"/>
    <mergeCell ref="F19:F21"/>
    <mergeCell ref="I9:I18"/>
    <mergeCell ref="J9:J18"/>
    <mergeCell ref="K9:K18"/>
    <mergeCell ref="C9:C18"/>
    <mergeCell ref="D9:D18"/>
    <mergeCell ref="E9:E18"/>
    <mergeCell ref="F9:F18"/>
    <mergeCell ref="G9:G18"/>
    <mergeCell ref="H9:H18"/>
    <mergeCell ref="H4:H8"/>
    <mergeCell ref="L4:L6"/>
    <mergeCell ref="M4:M6"/>
    <mergeCell ref="N4:N6"/>
    <mergeCell ref="O4:O6"/>
    <mergeCell ref="B4:B21"/>
    <mergeCell ref="P19:P20"/>
    <mergeCell ref="Q19:Q20"/>
    <mergeCell ref="R19:R20"/>
    <mergeCell ref="C22:C24"/>
    <mergeCell ref="D22:D24"/>
    <mergeCell ref="E22:E24"/>
    <mergeCell ref="F22:F24"/>
    <mergeCell ref="G22:G24"/>
    <mergeCell ref="H22:H24"/>
    <mergeCell ref="L19:L20"/>
    <mergeCell ref="M19:M20"/>
    <mergeCell ref="N19:N20"/>
    <mergeCell ref="O19:O20"/>
    <mergeCell ref="I22:I24"/>
    <mergeCell ref="J22:J24"/>
    <mergeCell ref="K22:K24"/>
    <mergeCell ref="O7:O8"/>
    <mergeCell ref="N7:N8"/>
    <mergeCell ref="M7:M8"/>
    <mergeCell ref="L7:L8"/>
    <mergeCell ref="P11:P17"/>
    <mergeCell ref="Q11:Q17"/>
    <mergeCell ref="P4:P6"/>
    <mergeCell ref="B22:B29"/>
    <mergeCell ref="C30:C31"/>
    <mergeCell ref="D30:D31"/>
    <mergeCell ref="E30:E31"/>
    <mergeCell ref="F30:F31"/>
    <mergeCell ref="L32:L35"/>
    <mergeCell ref="C32:C35"/>
    <mergeCell ref="D32:D35"/>
    <mergeCell ref="E32:E35"/>
    <mergeCell ref="F32:F35"/>
    <mergeCell ref="F27:F29"/>
    <mergeCell ref="E27:E29"/>
    <mergeCell ref="C27:C29"/>
    <mergeCell ref="D27:D29"/>
    <mergeCell ref="K27:K28"/>
    <mergeCell ref="J27:J28"/>
    <mergeCell ref="I27:I28"/>
    <mergeCell ref="H27:H28"/>
    <mergeCell ref="G27:G28"/>
    <mergeCell ref="C25:C26"/>
    <mergeCell ref="D25:D26"/>
    <mergeCell ref="E25:E26"/>
    <mergeCell ref="F25:F26"/>
    <mergeCell ref="R36:R39"/>
    <mergeCell ref="C36:C39"/>
    <mergeCell ref="D36:D39"/>
    <mergeCell ref="E36:E39"/>
    <mergeCell ref="F36:F39"/>
    <mergeCell ref="B30:B39"/>
    <mergeCell ref="L36:L39"/>
    <mergeCell ref="M36:M39"/>
    <mergeCell ref="N36:N39"/>
    <mergeCell ref="O36:O39"/>
    <mergeCell ref="P36:P39"/>
    <mergeCell ref="Q36:Q39"/>
    <mergeCell ref="M32:M35"/>
    <mergeCell ref="N32:N35"/>
    <mergeCell ref="O32:O35"/>
    <mergeCell ref="P32:P35"/>
    <mergeCell ref="Q32:Q35"/>
    <mergeCell ref="R32:R35"/>
    <mergeCell ref="R48:R50"/>
    <mergeCell ref="C46:C50"/>
    <mergeCell ref="D46:D50"/>
    <mergeCell ref="E46:E50"/>
    <mergeCell ref="F46:F50"/>
    <mergeCell ref="B41:B50"/>
    <mergeCell ref="L48:L50"/>
    <mergeCell ref="M48:M50"/>
    <mergeCell ref="N48:N50"/>
    <mergeCell ref="P48:P50"/>
    <mergeCell ref="Q48:Q50"/>
    <mergeCell ref="C44:C45"/>
    <mergeCell ref="D44:D45"/>
    <mergeCell ref="E44:E45"/>
    <mergeCell ref="F44:F45"/>
    <mergeCell ref="H41:H43"/>
    <mergeCell ref="I41:I43"/>
    <mergeCell ref="J41:J43"/>
    <mergeCell ref="K41:K43"/>
    <mergeCell ref="C41:C43"/>
    <mergeCell ref="D41:D43"/>
    <mergeCell ref="E41:E43"/>
    <mergeCell ref="F41:F43"/>
    <mergeCell ref="G41:G4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5E558-68C5-41A6-9209-3B16EE5F17A5}">
  <sheetPr codeName="Sheet2"/>
  <dimension ref="B1:O38"/>
  <sheetViews>
    <sheetView showGridLines="0" zoomScale="80" zoomScaleNormal="80" workbookViewId="0">
      <selection activeCell="E16" sqref="E16"/>
    </sheetView>
  </sheetViews>
  <sheetFormatPr defaultRowHeight="14.5" x14ac:dyDescent="0.35"/>
  <cols>
    <col min="2" max="2" width="25" bestFit="1" customWidth="1"/>
    <col min="3" max="3" width="14.54296875" bestFit="1" customWidth="1"/>
    <col min="4" max="4" width="12.36328125" bestFit="1" customWidth="1"/>
    <col min="5" max="5" width="11.90625" bestFit="1" customWidth="1"/>
    <col min="6" max="6" width="14.08984375" bestFit="1" customWidth="1"/>
    <col min="7" max="7" width="8.81640625" bestFit="1" customWidth="1"/>
    <col min="8" max="8" width="4.08984375" bestFit="1" customWidth="1"/>
    <col min="9" max="9" width="13.81640625" bestFit="1" customWidth="1"/>
    <col min="10" max="10" width="8.6328125" bestFit="1" customWidth="1"/>
    <col min="15" max="15" width="10.36328125" style="176" bestFit="1" customWidth="1"/>
  </cols>
  <sheetData>
    <row r="1" spans="2:10" ht="15" thickBot="1" x14ac:dyDescent="0.4"/>
    <row r="2" spans="2:10" ht="15" thickBot="1" x14ac:dyDescent="0.4">
      <c r="B2" s="4" t="s">
        <v>1</v>
      </c>
      <c r="C2" s="167" t="s">
        <v>92</v>
      </c>
      <c r="D2" s="168"/>
      <c r="E2" s="4" t="s">
        <v>2</v>
      </c>
      <c r="F2" s="4" t="s">
        <v>94</v>
      </c>
      <c r="G2" s="4" t="s">
        <v>96</v>
      </c>
      <c r="H2" s="8" t="s">
        <v>97</v>
      </c>
      <c r="I2" s="8" t="s">
        <v>98</v>
      </c>
      <c r="J2" s="4" t="s">
        <v>95</v>
      </c>
    </row>
    <row r="3" spans="2:10" x14ac:dyDescent="0.35">
      <c r="B3" s="55" t="s">
        <v>120</v>
      </c>
      <c r="C3" s="163" t="s">
        <v>105</v>
      </c>
      <c r="D3" s="94"/>
      <c r="E3" s="175">
        <v>0</v>
      </c>
    </row>
    <row r="4" spans="2:10" x14ac:dyDescent="0.35">
      <c r="B4" s="56"/>
      <c r="C4" s="164" t="s">
        <v>24</v>
      </c>
      <c r="D4" s="95"/>
      <c r="E4" s="122">
        <v>2000</v>
      </c>
    </row>
    <row r="5" spans="2:10" ht="15" thickBot="1" x14ac:dyDescent="0.4">
      <c r="B5" s="57"/>
      <c r="C5" s="165" t="s">
        <v>121</v>
      </c>
      <c r="D5" s="166"/>
      <c r="E5" s="122">
        <v>0</v>
      </c>
    </row>
    <row r="6" spans="2:10" x14ac:dyDescent="0.35">
      <c r="B6" s="55" t="s">
        <v>93</v>
      </c>
      <c r="C6" s="163" t="s">
        <v>23</v>
      </c>
      <c r="D6" s="94"/>
      <c r="E6" s="122">
        <v>0</v>
      </c>
    </row>
    <row r="7" spans="2:10" x14ac:dyDescent="0.35">
      <c r="B7" s="56"/>
      <c r="C7" s="164" t="s">
        <v>81</v>
      </c>
      <c r="D7" s="95"/>
      <c r="E7" s="122">
        <v>0</v>
      </c>
    </row>
    <row r="8" spans="2:10" x14ac:dyDescent="0.35">
      <c r="B8" s="56"/>
      <c r="C8" s="164" t="s">
        <v>104</v>
      </c>
      <c r="D8" s="95"/>
      <c r="E8" s="122">
        <v>2000</v>
      </c>
    </row>
    <row r="9" spans="2:10" ht="15" thickBot="1" x14ac:dyDescent="0.4">
      <c r="B9" s="57"/>
      <c r="C9" s="165" t="s">
        <v>105</v>
      </c>
      <c r="D9" s="166"/>
      <c r="E9" s="122">
        <v>0</v>
      </c>
    </row>
    <row r="10" spans="2:10" x14ac:dyDescent="0.35">
      <c r="B10" s="55" t="s">
        <v>99</v>
      </c>
      <c r="C10" s="163" t="s">
        <v>23</v>
      </c>
      <c r="D10" s="94"/>
      <c r="E10" s="122">
        <v>0</v>
      </c>
    </row>
    <row r="11" spans="2:10" x14ac:dyDescent="0.35">
      <c r="B11" s="56"/>
      <c r="C11" s="164" t="s">
        <v>115</v>
      </c>
      <c r="D11" s="95"/>
      <c r="E11" s="122">
        <v>550</v>
      </c>
    </row>
    <row r="12" spans="2:10" x14ac:dyDescent="0.35">
      <c r="B12" s="56"/>
      <c r="C12" s="164" t="s">
        <v>105</v>
      </c>
      <c r="D12" s="95"/>
      <c r="E12" s="122">
        <v>0</v>
      </c>
    </row>
    <row r="13" spans="2:10" ht="15" thickBot="1" x14ac:dyDescent="0.4">
      <c r="B13" s="57"/>
      <c r="C13" s="165" t="s">
        <v>14</v>
      </c>
      <c r="D13" s="166"/>
      <c r="E13" s="122">
        <v>500</v>
      </c>
    </row>
    <row r="14" spans="2:10" x14ac:dyDescent="0.35">
      <c r="B14" s="55" t="s">
        <v>116</v>
      </c>
      <c r="C14" s="163" t="s">
        <v>23</v>
      </c>
      <c r="D14" s="94"/>
      <c r="E14" s="122">
        <v>1500</v>
      </c>
    </row>
    <row r="15" spans="2:10" ht="15" thickBot="1" x14ac:dyDescent="0.4">
      <c r="B15" s="56"/>
      <c r="C15" s="165" t="s">
        <v>105</v>
      </c>
      <c r="D15" s="166"/>
      <c r="E15" s="122">
        <v>0</v>
      </c>
    </row>
    <row r="16" spans="2:10" x14ac:dyDescent="0.35">
      <c r="B16" s="56"/>
      <c r="C16" s="55" t="s">
        <v>117</v>
      </c>
      <c r="D16" s="6" t="s">
        <v>118</v>
      </c>
      <c r="E16" s="122">
        <v>1500</v>
      </c>
    </row>
    <row r="17" spans="2:5" ht="15" thickBot="1" x14ac:dyDescent="0.4">
      <c r="B17" s="56"/>
      <c r="C17" s="57"/>
      <c r="D17" s="161" t="s">
        <v>119</v>
      </c>
      <c r="E17" s="122">
        <v>1500</v>
      </c>
    </row>
    <row r="18" spans="2:5" ht="15" thickBot="1" x14ac:dyDescent="0.4">
      <c r="B18" s="57"/>
      <c r="C18" s="167" t="s">
        <v>14</v>
      </c>
      <c r="D18" s="169"/>
      <c r="E18" s="91">
        <v>10000</v>
      </c>
    </row>
    <row r="19" spans="2:5" x14ac:dyDescent="0.35">
      <c r="B19" s="55" t="s">
        <v>100</v>
      </c>
      <c r="C19" s="163" t="s">
        <v>23</v>
      </c>
      <c r="D19" s="94"/>
      <c r="E19" s="122">
        <v>5000</v>
      </c>
    </row>
    <row r="20" spans="2:5" x14ac:dyDescent="0.35">
      <c r="B20" s="56"/>
      <c r="C20" s="164" t="s">
        <v>21</v>
      </c>
      <c r="D20" s="95"/>
      <c r="E20" s="122">
        <v>0</v>
      </c>
    </row>
    <row r="21" spans="2:5" x14ac:dyDescent="0.35">
      <c r="B21" s="56"/>
      <c r="C21" s="164" t="s">
        <v>29</v>
      </c>
      <c r="D21" s="95"/>
      <c r="E21" s="122">
        <v>0</v>
      </c>
    </row>
    <row r="22" spans="2:5" ht="15" thickBot="1" x14ac:dyDescent="0.4">
      <c r="B22" s="57"/>
      <c r="C22" s="165" t="s">
        <v>105</v>
      </c>
      <c r="D22" s="166"/>
      <c r="E22" s="122">
        <v>0</v>
      </c>
    </row>
    <row r="23" spans="2:5" x14ac:dyDescent="0.35">
      <c r="B23" s="55" t="s">
        <v>101</v>
      </c>
      <c r="C23" s="55" t="s">
        <v>102</v>
      </c>
      <c r="D23" s="6" t="s">
        <v>106</v>
      </c>
      <c r="E23" s="122">
        <v>0</v>
      </c>
    </row>
    <row r="24" spans="2:5" x14ac:dyDescent="0.35">
      <c r="B24" s="56"/>
      <c r="C24" s="56"/>
      <c r="D24" s="162" t="s">
        <v>105</v>
      </c>
      <c r="E24" s="122">
        <v>0</v>
      </c>
    </row>
    <row r="25" spans="2:5" ht="15" thickBot="1" x14ac:dyDescent="0.4">
      <c r="B25" s="56"/>
      <c r="C25" s="57"/>
      <c r="D25" s="161" t="s">
        <v>22</v>
      </c>
      <c r="E25" s="122">
        <v>500</v>
      </c>
    </row>
    <row r="26" spans="2:5" x14ac:dyDescent="0.35">
      <c r="B26" s="56"/>
      <c r="C26" s="55" t="s">
        <v>68</v>
      </c>
      <c r="D26" s="6" t="s">
        <v>109</v>
      </c>
      <c r="E26" s="122">
        <v>0</v>
      </c>
    </row>
    <row r="27" spans="2:5" x14ac:dyDescent="0.35">
      <c r="B27" s="56"/>
      <c r="C27" s="56"/>
      <c r="D27" s="162" t="s">
        <v>108</v>
      </c>
      <c r="E27" s="122">
        <v>0</v>
      </c>
    </row>
    <row r="28" spans="2:5" x14ac:dyDescent="0.35">
      <c r="B28" s="56"/>
      <c r="C28" s="56"/>
      <c r="D28" s="162" t="s">
        <v>107</v>
      </c>
      <c r="E28" s="122">
        <v>7500</v>
      </c>
    </row>
    <row r="29" spans="2:5" ht="15" thickBot="1" x14ac:dyDescent="0.4">
      <c r="B29" s="56"/>
      <c r="C29" s="57"/>
      <c r="D29" s="161" t="s">
        <v>105</v>
      </c>
      <c r="E29" s="122">
        <v>0</v>
      </c>
    </row>
    <row r="30" spans="2:5" x14ac:dyDescent="0.35">
      <c r="B30" s="56"/>
      <c r="C30" s="55" t="s">
        <v>103</v>
      </c>
      <c r="D30" s="6" t="s">
        <v>111</v>
      </c>
      <c r="E30" s="122">
        <v>5000</v>
      </c>
    </row>
    <row r="31" spans="2:5" x14ac:dyDescent="0.35">
      <c r="B31" s="56"/>
      <c r="C31" s="56"/>
      <c r="D31" s="162" t="s">
        <v>105</v>
      </c>
      <c r="E31" s="122">
        <v>0</v>
      </c>
    </row>
    <row r="32" spans="2:5" x14ac:dyDescent="0.35">
      <c r="B32" s="56"/>
      <c r="C32" s="56"/>
      <c r="D32" s="162" t="s">
        <v>112</v>
      </c>
      <c r="E32" s="122">
        <v>0</v>
      </c>
    </row>
    <row r="33" spans="2:5" ht="15" thickBot="1" x14ac:dyDescent="0.4">
      <c r="B33" s="56"/>
      <c r="C33" s="57"/>
      <c r="D33" s="161" t="s">
        <v>110</v>
      </c>
      <c r="E33" s="122">
        <v>0</v>
      </c>
    </row>
    <row r="34" spans="2:5" x14ac:dyDescent="0.35">
      <c r="B34" s="56"/>
      <c r="C34" s="55" t="s">
        <v>71</v>
      </c>
      <c r="D34" s="6" t="s">
        <v>114</v>
      </c>
      <c r="E34" s="122">
        <v>0</v>
      </c>
    </row>
    <row r="35" spans="2:5" x14ac:dyDescent="0.35">
      <c r="B35" s="56"/>
      <c r="C35" s="56"/>
      <c r="D35" s="162" t="s">
        <v>108</v>
      </c>
      <c r="E35" s="122">
        <v>0</v>
      </c>
    </row>
    <row r="36" spans="2:5" x14ac:dyDescent="0.35">
      <c r="B36" s="56"/>
      <c r="C36" s="56"/>
      <c r="D36" s="162" t="s">
        <v>107</v>
      </c>
      <c r="E36" s="122">
        <v>3500</v>
      </c>
    </row>
    <row r="37" spans="2:5" x14ac:dyDescent="0.35">
      <c r="B37" s="56"/>
      <c r="C37" s="56"/>
      <c r="D37" s="162" t="s">
        <v>105</v>
      </c>
      <c r="E37" s="122">
        <v>0</v>
      </c>
    </row>
    <row r="38" spans="2:5" ht="15" thickBot="1" x14ac:dyDescent="0.4">
      <c r="B38" s="57"/>
      <c r="C38" s="57"/>
      <c r="D38" s="161" t="s">
        <v>113</v>
      </c>
      <c r="E38" s="122">
        <v>0</v>
      </c>
    </row>
  </sheetData>
  <sortState xmlns:xlrd2="http://schemas.microsoft.com/office/spreadsheetml/2017/richdata2" ref="I7:I10">
    <sortCondition ref="I7"/>
  </sortState>
  <mergeCells count="30">
    <mergeCell ref="C2:D2"/>
    <mergeCell ref="C3:D3"/>
    <mergeCell ref="C4:D4"/>
    <mergeCell ref="C5:D5"/>
    <mergeCell ref="B3:B5"/>
    <mergeCell ref="C14:D14"/>
    <mergeCell ref="C15:D15"/>
    <mergeCell ref="C18:D18"/>
    <mergeCell ref="C21:D21"/>
    <mergeCell ref="C22:D22"/>
    <mergeCell ref="C6:D6"/>
    <mergeCell ref="C7:D7"/>
    <mergeCell ref="C8:D8"/>
    <mergeCell ref="C9:D9"/>
    <mergeCell ref="C10:D10"/>
    <mergeCell ref="C11:D11"/>
    <mergeCell ref="C12:D12"/>
    <mergeCell ref="C13:D13"/>
    <mergeCell ref="C34:C38"/>
    <mergeCell ref="B23:B38"/>
    <mergeCell ref="C19:D19"/>
    <mergeCell ref="C20:D20"/>
    <mergeCell ref="B6:B9"/>
    <mergeCell ref="B10:B13"/>
    <mergeCell ref="B14:B18"/>
    <mergeCell ref="C16:C17"/>
    <mergeCell ref="B19:B22"/>
    <mergeCell ref="C23:C25"/>
    <mergeCell ref="C26:C29"/>
    <mergeCell ref="C30:C3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7080E-69FD-4E03-8553-9AA7389271F5}">
  <sheetPr codeName="Sheet3"/>
  <dimension ref="B1:AM80"/>
  <sheetViews>
    <sheetView showGridLines="0" tabSelected="1" zoomScale="80" zoomScaleNormal="80" workbookViewId="0">
      <selection activeCell="D2" sqref="D2:F2"/>
    </sheetView>
  </sheetViews>
  <sheetFormatPr defaultRowHeight="14.5" x14ac:dyDescent="0.35"/>
  <cols>
    <col min="2" max="2" width="38.453125" bestFit="1" customWidth="1"/>
    <col min="3" max="3" width="38.453125" customWidth="1"/>
    <col min="4" max="4" width="6.54296875" bestFit="1" customWidth="1"/>
    <col min="5" max="5" width="10.36328125" style="176" bestFit="1" customWidth="1"/>
    <col min="6" max="6" width="7.453125" bestFit="1" customWidth="1"/>
    <col min="7" max="7" width="7.7265625" style="176" bestFit="1" customWidth="1"/>
    <col min="8" max="8" width="9.54296875" style="176" bestFit="1" customWidth="1"/>
    <col min="9" max="9" width="10.36328125" style="176" bestFit="1" customWidth="1"/>
    <col min="10" max="10" width="6.54296875" style="176" bestFit="1" customWidth="1"/>
    <col min="11" max="11" width="7.7265625" style="176" bestFit="1" customWidth="1"/>
    <col min="12" max="12" width="13.54296875" style="176" bestFit="1" customWidth="1"/>
    <col min="13" max="13" width="6.54296875" style="176" bestFit="1" customWidth="1"/>
    <col min="14" max="14" width="6.7265625" style="176" bestFit="1" customWidth="1"/>
    <col min="15" max="15" width="10.36328125" style="176" bestFit="1" customWidth="1"/>
    <col min="16" max="16" width="6.54296875" style="176" bestFit="1" customWidth="1"/>
    <col min="17" max="17" width="10.36328125" style="176" bestFit="1" customWidth="1"/>
    <col min="18" max="18" width="10.08984375" style="176" bestFit="1" customWidth="1"/>
    <col min="19" max="19" width="6.7265625" style="176" bestFit="1" customWidth="1"/>
    <col min="20" max="20" width="7.7265625" bestFit="1" customWidth="1"/>
    <col min="21" max="21" width="7.1796875" bestFit="1" customWidth="1"/>
    <col min="22" max="22" width="7" bestFit="1" customWidth="1"/>
    <col min="23" max="23" width="6.54296875" bestFit="1" customWidth="1"/>
    <col min="24" max="24" width="3.81640625" bestFit="1" customWidth="1"/>
    <col min="25" max="25" width="6.54296875" bestFit="1" customWidth="1"/>
    <col min="26" max="26" width="5.08984375" bestFit="1" customWidth="1"/>
    <col min="27" max="27" width="11.54296875" bestFit="1" customWidth="1"/>
    <col min="28" max="28" width="7.6328125" bestFit="1" customWidth="1"/>
    <col min="29" max="29" width="12.36328125" bestFit="1" customWidth="1"/>
    <col min="30" max="30" width="6.54296875" bestFit="1" customWidth="1"/>
    <col min="31" max="31" width="7.1796875" bestFit="1" customWidth="1"/>
    <col min="32" max="32" width="6.54296875" bestFit="1" customWidth="1"/>
    <col min="33" max="33" width="5" bestFit="1" customWidth="1"/>
    <col min="34" max="34" width="9.08984375" bestFit="1" customWidth="1"/>
    <col min="35" max="35" width="11.90625" bestFit="1" customWidth="1"/>
    <col min="36" max="36" width="7.6328125" bestFit="1" customWidth="1"/>
    <col min="37" max="37" width="12.36328125" bestFit="1" customWidth="1"/>
    <col min="38" max="38" width="6.54296875" bestFit="1" customWidth="1"/>
    <col min="39" max="39" width="4.7265625" bestFit="1" customWidth="1"/>
  </cols>
  <sheetData>
    <row r="1" spans="2:39" ht="15" thickBot="1" x14ac:dyDescent="0.4"/>
    <row r="2" spans="2:39" ht="15" thickBot="1" x14ac:dyDescent="0.4">
      <c r="B2" s="5" t="s">
        <v>1</v>
      </c>
      <c r="C2" s="55" t="s">
        <v>123</v>
      </c>
      <c r="D2" s="173" t="s">
        <v>120</v>
      </c>
      <c r="E2" s="173"/>
      <c r="F2" s="174"/>
      <c r="G2" s="179" t="s">
        <v>93</v>
      </c>
      <c r="H2" s="180"/>
      <c r="I2" s="180"/>
      <c r="J2" s="181"/>
      <c r="K2" s="179" t="s">
        <v>99</v>
      </c>
      <c r="L2" s="180"/>
      <c r="M2" s="180"/>
      <c r="N2" s="181"/>
      <c r="O2" s="179" t="s">
        <v>116</v>
      </c>
      <c r="P2" s="180"/>
      <c r="Q2" s="180"/>
      <c r="R2" s="180"/>
      <c r="S2" s="181"/>
      <c r="T2" s="172" t="s">
        <v>100</v>
      </c>
      <c r="U2" s="173"/>
      <c r="V2" s="173"/>
      <c r="W2" s="174"/>
      <c r="X2" s="172" t="s">
        <v>101</v>
      </c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4"/>
    </row>
    <row r="3" spans="2:39" ht="15" thickBot="1" x14ac:dyDescent="0.4">
      <c r="B3" s="67" t="s">
        <v>92</v>
      </c>
      <c r="C3" s="56"/>
      <c r="D3" s="96" t="s">
        <v>105</v>
      </c>
      <c r="E3" s="177" t="s">
        <v>24</v>
      </c>
      <c r="F3" s="55" t="s">
        <v>121</v>
      </c>
      <c r="G3" s="177" t="s">
        <v>23</v>
      </c>
      <c r="H3" s="177" t="s">
        <v>81</v>
      </c>
      <c r="I3" s="177" t="s">
        <v>104</v>
      </c>
      <c r="J3" s="177" t="s">
        <v>105</v>
      </c>
      <c r="K3" s="177" t="s">
        <v>23</v>
      </c>
      <c r="L3" s="177" t="s">
        <v>115</v>
      </c>
      <c r="M3" s="177" t="s">
        <v>105</v>
      </c>
      <c r="N3" s="177" t="s">
        <v>14</v>
      </c>
      <c r="O3" s="177" t="s">
        <v>23</v>
      </c>
      <c r="P3" s="177" t="s">
        <v>105</v>
      </c>
      <c r="Q3" s="182" t="s">
        <v>117</v>
      </c>
      <c r="R3" s="183"/>
      <c r="S3" s="177" t="s">
        <v>14</v>
      </c>
      <c r="T3" s="55" t="s">
        <v>23</v>
      </c>
      <c r="U3" s="55" t="s">
        <v>21</v>
      </c>
      <c r="V3" s="55" t="s">
        <v>29</v>
      </c>
      <c r="W3" s="55" t="s">
        <v>105</v>
      </c>
      <c r="X3" s="172" t="s">
        <v>102</v>
      </c>
      <c r="Y3" s="173"/>
      <c r="Z3" s="174"/>
      <c r="AA3" s="172" t="s">
        <v>68</v>
      </c>
      <c r="AB3" s="173"/>
      <c r="AC3" s="173"/>
      <c r="AD3" s="174"/>
      <c r="AE3" s="172" t="s">
        <v>103</v>
      </c>
      <c r="AF3" s="173"/>
      <c r="AG3" s="173"/>
      <c r="AH3" s="174"/>
      <c r="AI3" s="172" t="s">
        <v>71</v>
      </c>
      <c r="AJ3" s="173"/>
      <c r="AK3" s="173"/>
      <c r="AL3" s="173"/>
      <c r="AM3" s="174"/>
    </row>
    <row r="4" spans="2:39" ht="15" thickBot="1" x14ac:dyDescent="0.4">
      <c r="B4" s="54"/>
      <c r="C4" s="57"/>
      <c r="D4" s="112"/>
      <c r="E4" s="178"/>
      <c r="F4" s="57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84" t="s">
        <v>118</v>
      </c>
      <c r="R4" s="184" t="s">
        <v>119</v>
      </c>
      <c r="S4" s="178"/>
      <c r="T4" s="57"/>
      <c r="U4" s="57"/>
      <c r="V4" s="57"/>
      <c r="W4" s="57"/>
      <c r="X4" s="4" t="s">
        <v>106</v>
      </c>
      <c r="Y4" s="4" t="s">
        <v>105</v>
      </c>
      <c r="Z4" s="4" t="s">
        <v>22</v>
      </c>
      <c r="AA4" s="161" t="s">
        <v>109</v>
      </c>
      <c r="AB4" s="4" t="s">
        <v>108</v>
      </c>
      <c r="AC4" s="4" t="s">
        <v>107</v>
      </c>
      <c r="AD4" s="4" t="s">
        <v>105</v>
      </c>
      <c r="AE4" s="4" t="s">
        <v>111</v>
      </c>
      <c r="AF4" s="4" t="s">
        <v>105</v>
      </c>
      <c r="AG4" s="4" t="s">
        <v>112</v>
      </c>
      <c r="AH4" s="4" t="s">
        <v>110</v>
      </c>
      <c r="AI4" s="108" t="s">
        <v>114</v>
      </c>
      <c r="AJ4" s="4" t="s">
        <v>108</v>
      </c>
      <c r="AK4" s="4" t="s">
        <v>107</v>
      </c>
      <c r="AL4" s="4" t="s">
        <v>105</v>
      </c>
      <c r="AM4" s="4" t="s">
        <v>113</v>
      </c>
    </row>
    <row r="5" spans="2:39" x14ac:dyDescent="0.35">
      <c r="B5" s="55" t="s">
        <v>8</v>
      </c>
      <c r="C5" s="23" t="s">
        <v>2</v>
      </c>
      <c r="E5" s="176">
        <f>'Expend Sheet - Online'!E4</f>
        <v>2000</v>
      </c>
      <c r="I5" s="176">
        <f>'Expend Sheet - Online'!E8</f>
        <v>2000</v>
      </c>
      <c r="L5" s="176">
        <f>'Expend Sheet - Online'!E11</f>
        <v>550</v>
      </c>
      <c r="O5" s="176">
        <f>'Expend Sheet - Online'!E14</f>
        <v>1500</v>
      </c>
      <c r="Q5" s="176">
        <f>'Expend Sheet - Online'!E16</f>
        <v>1500</v>
      </c>
      <c r="R5" s="176">
        <f>'Expend Sheet - Online'!E17</f>
        <v>1500</v>
      </c>
    </row>
    <row r="6" spans="2:39" x14ac:dyDescent="0.35">
      <c r="B6" s="56"/>
      <c r="C6" s="10" t="s">
        <v>124</v>
      </c>
    </row>
    <row r="7" spans="2:39" x14ac:dyDescent="0.35">
      <c r="B7" s="56"/>
      <c r="C7" s="10" t="s">
        <v>125</v>
      </c>
    </row>
    <row r="8" spans="2:39" ht="15" thickBot="1" x14ac:dyDescent="0.4">
      <c r="B8" s="57"/>
      <c r="C8" s="11" t="s">
        <v>97</v>
      </c>
    </row>
    <row r="9" spans="2:39" x14ac:dyDescent="0.35">
      <c r="B9" s="55" t="s">
        <v>18</v>
      </c>
      <c r="C9" s="23" t="s">
        <v>2</v>
      </c>
      <c r="E9" s="176">
        <f>'Expend Sheet - Online'!E4</f>
        <v>2000</v>
      </c>
      <c r="I9" s="176">
        <f>'Expend Sheet - Online'!E8</f>
        <v>2000</v>
      </c>
      <c r="L9" s="176">
        <f>'Expend Sheet - Online'!E11</f>
        <v>550</v>
      </c>
      <c r="O9" s="176">
        <f>'Expend Sheet - Online'!E14</f>
        <v>1500</v>
      </c>
      <c r="Q9" s="176">
        <f>'Expend Sheet - Online'!E16</f>
        <v>1500</v>
      </c>
      <c r="R9" s="176">
        <f>'Expend Sheet - Online'!E17</f>
        <v>1500</v>
      </c>
    </row>
    <row r="10" spans="2:39" x14ac:dyDescent="0.35">
      <c r="B10" s="56"/>
      <c r="C10" s="10" t="s">
        <v>124</v>
      </c>
    </row>
    <row r="11" spans="2:39" x14ac:dyDescent="0.35">
      <c r="B11" s="56"/>
      <c r="C11" s="10" t="s">
        <v>125</v>
      </c>
    </row>
    <row r="12" spans="2:39" ht="15" thickBot="1" x14ac:dyDescent="0.4">
      <c r="B12" s="57"/>
      <c r="C12" s="11" t="s">
        <v>97</v>
      </c>
    </row>
    <row r="13" spans="2:39" x14ac:dyDescent="0.35">
      <c r="B13" s="55" t="s">
        <v>32</v>
      </c>
      <c r="C13" s="23" t="s">
        <v>2</v>
      </c>
      <c r="E13" s="176">
        <f>'Expend Sheet - Online'!E4</f>
        <v>2000</v>
      </c>
      <c r="I13" s="176">
        <f>'Expend Sheet - Online'!E8</f>
        <v>2000</v>
      </c>
      <c r="L13" s="176">
        <f>'Expend Sheet - Online'!E11</f>
        <v>550</v>
      </c>
      <c r="O13" s="176">
        <f>'Expend Sheet - Online'!E14</f>
        <v>1500</v>
      </c>
      <c r="Q13" s="176">
        <f>'Expend Sheet - Online'!E16</f>
        <v>1500</v>
      </c>
      <c r="R13" s="176">
        <f>'Expend Sheet - Online'!E17</f>
        <v>1500</v>
      </c>
    </row>
    <row r="14" spans="2:39" x14ac:dyDescent="0.35">
      <c r="B14" s="56"/>
      <c r="C14" s="10" t="s">
        <v>124</v>
      </c>
    </row>
    <row r="15" spans="2:39" x14ac:dyDescent="0.35">
      <c r="B15" s="56"/>
      <c r="C15" s="10" t="s">
        <v>125</v>
      </c>
    </row>
    <row r="16" spans="2:39" ht="15" thickBot="1" x14ac:dyDescent="0.4">
      <c r="B16" s="57"/>
      <c r="C16" s="11" t="s">
        <v>97</v>
      </c>
    </row>
    <row r="17" spans="2:18" x14ac:dyDescent="0.35">
      <c r="B17" s="55" t="s">
        <v>33</v>
      </c>
      <c r="C17" s="23" t="s">
        <v>2</v>
      </c>
      <c r="E17" s="176">
        <f>'Expend Sheet - Online'!E4</f>
        <v>2000</v>
      </c>
      <c r="I17" s="176">
        <f>'Expend Sheet - Online'!E8</f>
        <v>2000</v>
      </c>
      <c r="L17" s="176">
        <f>'Expend Sheet - Online'!E11</f>
        <v>550</v>
      </c>
      <c r="O17" s="176">
        <f>'Expend Sheet - Online'!E14</f>
        <v>1500</v>
      </c>
      <c r="Q17" s="176">
        <f>'Expend Sheet - Online'!E16</f>
        <v>1500</v>
      </c>
      <c r="R17" s="176">
        <f>'Expend Sheet - Online'!E17</f>
        <v>1500</v>
      </c>
    </row>
    <row r="18" spans="2:18" x14ac:dyDescent="0.35">
      <c r="B18" s="56"/>
      <c r="C18" s="10" t="s">
        <v>124</v>
      </c>
    </row>
    <row r="19" spans="2:18" x14ac:dyDescent="0.35">
      <c r="B19" s="56"/>
      <c r="C19" s="10" t="s">
        <v>125</v>
      </c>
    </row>
    <row r="20" spans="2:18" ht="15" thickBot="1" x14ac:dyDescent="0.4">
      <c r="B20" s="57"/>
      <c r="C20" s="11" t="s">
        <v>97</v>
      </c>
    </row>
    <row r="21" spans="2:18" x14ac:dyDescent="0.35">
      <c r="B21" s="55" t="s">
        <v>37</v>
      </c>
      <c r="C21" s="23" t="s">
        <v>2</v>
      </c>
      <c r="E21" s="176">
        <f>'Expend Sheet - Online'!E4</f>
        <v>2000</v>
      </c>
      <c r="I21" s="176">
        <f>'Expend Sheet - Online'!E8</f>
        <v>2000</v>
      </c>
      <c r="L21" s="176">
        <f>'Expend Sheet - Online'!E11</f>
        <v>550</v>
      </c>
      <c r="O21" s="176">
        <f>'Expend Sheet - Online'!E14</f>
        <v>1500</v>
      </c>
      <c r="Q21" s="176">
        <f>'Expend Sheet - Online'!E16</f>
        <v>1500</v>
      </c>
      <c r="R21" s="176">
        <f>'Expend Sheet - Online'!E17</f>
        <v>1500</v>
      </c>
    </row>
    <row r="22" spans="2:18" x14ac:dyDescent="0.35">
      <c r="B22" s="56"/>
      <c r="C22" s="10" t="s">
        <v>124</v>
      </c>
    </row>
    <row r="23" spans="2:18" x14ac:dyDescent="0.35">
      <c r="B23" s="56"/>
      <c r="C23" s="10" t="s">
        <v>125</v>
      </c>
    </row>
    <row r="24" spans="2:18" ht="15" thickBot="1" x14ac:dyDescent="0.4">
      <c r="B24" s="57"/>
      <c r="C24" s="11" t="s">
        <v>97</v>
      </c>
    </row>
    <row r="25" spans="2:18" x14ac:dyDescent="0.35">
      <c r="B25" s="55" t="s">
        <v>40</v>
      </c>
      <c r="C25" s="23" t="s">
        <v>2</v>
      </c>
      <c r="E25" s="176">
        <f>'Expend Sheet - Online'!E4</f>
        <v>2000</v>
      </c>
      <c r="I25" s="176">
        <f>'Expend Sheet - Online'!E8</f>
        <v>2000</v>
      </c>
      <c r="L25" s="176">
        <f>'Expend Sheet - Online'!E11</f>
        <v>550</v>
      </c>
      <c r="O25" s="176">
        <f>'Expend Sheet - Online'!E14</f>
        <v>1500</v>
      </c>
      <c r="Q25" s="176">
        <f>'Expend Sheet - Online'!E16</f>
        <v>1500</v>
      </c>
      <c r="R25" s="176">
        <f>'Expend Sheet - Online'!E17</f>
        <v>1500</v>
      </c>
    </row>
    <row r="26" spans="2:18" x14ac:dyDescent="0.35">
      <c r="B26" s="56"/>
      <c r="C26" s="10" t="s">
        <v>124</v>
      </c>
    </row>
    <row r="27" spans="2:18" x14ac:dyDescent="0.35">
      <c r="B27" s="56"/>
      <c r="C27" s="10" t="s">
        <v>125</v>
      </c>
    </row>
    <row r="28" spans="2:18" ht="15" thickBot="1" x14ac:dyDescent="0.4">
      <c r="B28" s="57"/>
      <c r="C28" s="11" t="s">
        <v>97</v>
      </c>
    </row>
    <row r="29" spans="2:18" x14ac:dyDescent="0.35">
      <c r="B29" s="55" t="s">
        <v>45</v>
      </c>
      <c r="C29" s="23" t="s">
        <v>2</v>
      </c>
      <c r="E29" s="176">
        <f>'Expend Sheet - Online'!E4</f>
        <v>2000</v>
      </c>
      <c r="I29" s="176">
        <f>'Expend Sheet - Online'!E8</f>
        <v>2000</v>
      </c>
      <c r="L29" s="176">
        <f>'Expend Sheet - Online'!E11</f>
        <v>550</v>
      </c>
      <c r="O29" s="176">
        <f>'Expend Sheet - Online'!E14</f>
        <v>1500</v>
      </c>
      <c r="Q29" s="176">
        <f>'Expend Sheet - Online'!E16</f>
        <v>1500</v>
      </c>
      <c r="R29" s="176">
        <f>'Expend Sheet - Online'!E17</f>
        <v>1500</v>
      </c>
    </row>
    <row r="30" spans="2:18" x14ac:dyDescent="0.35">
      <c r="B30" s="56"/>
      <c r="C30" s="10" t="s">
        <v>124</v>
      </c>
    </row>
    <row r="31" spans="2:18" x14ac:dyDescent="0.35">
      <c r="B31" s="56"/>
      <c r="C31" s="10" t="s">
        <v>125</v>
      </c>
    </row>
    <row r="32" spans="2:18" ht="15" thickBot="1" x14ac:dyDescent="0.4">
      <c r="B32" s="57"/>
      <c r="C32" s="11" t="s">
        <v>97</v>
      </c>
    </row>
    <row r="33" spans="2:18" x14ac:dyDescent="0.35">
      <c r="B33" s="55" t="s">
        <v>49</v>
      </c>
      <c r="C33" s="23" t="s">
        <v>2</v>
      </c>
      <c r="E33" s="176">
        <f>'Expend Sheet - Online'!E4</f>
        <v>2000</v>
      </c>
      <c r="I33" s="176">
        <f>'Expend Sheet - Online'!E8</f>
        <v>2000</v>
      </c>
      <c r="L33" s="176">
        <f>'Expend Sheet - Online'!E11</f>
        <v>550</v>
      </c>
      <c r="O33" s="176">
        <f>'Expend Sheet - Online'!E14</f>
        <v>1500</v>
      </c>
      <c r="Q33" s="176">
        <f>'Expend Sheet - Online'!E16</f>
        <v>1500</v>
      </c>
      <c r="R33" s="176">
        <f>'Expend Sheet - Online'!E17</f>
        <v>1500</v>
      </c>
    </row>
    <row r="34" spans="2:18" x14ac:dyDescent="0.35">
      <c r="B34" s="56"/>
      <c r="C34" s="10" t="s">
        <v>124</v>
      </c>
    </row>
    <row r="35" spans="2:18" x14ac:dyDescent="0.35">
      <c r="B35" s="56"/>
      <c r="C35" s="10" t="s">
        <v>125</v>
      </c>
    </row>
    <row r="36" spans="2:18" ht="15" thickBot="1" x14ac:dyDescent="0.4">
      <c r="B36" s="57"/>
      <c r="C36" s="11" t="s">
        <v>97</v>
      </c>
    </row>
    <row r="37" spans="2:18" x14ac:dyDescent="0.35">
      <c r="B37" s="55" t="s">
        <v>53</v>
      </c>
      <c r="C37" s="23" t="s">
        <v>2</v>
      </c>
      <c r="E37" s="176">
        <f>'Expend Sheet - Online'!E4</f>
        <v>2000</v>
      </c>
      <c r="I37" s="176">
        <f>'Expend Sheet - Online'!E8</f>
        <v>2000</v>
      </c>
      <c r="L37" s="176">
        <f>'Expend Sheet - Online'!E11</f>
        <v>550</v>
      </c>
      <c r="O37" s="176">
        <f>'Expend Sheet - Online'!E14</f>
        <v>1500</v>
      </c>
      <c r="Q37" s="176">
        <f>'Expend Sheet - Online'!E16</f>
        <v>1500</v>
      </c>
      <c r="R37" s="176">
        <f>'Expend Sheet - Online'!E17</f>
        <v>1500</v>
      </c>
    </row>
    <row r="38" spans="2:18" x14ac:dyDescent="0.35">
      <c r="B38" s="56"/>
      <c r="C38" s="10" t="s">
        <v>124</v>
      </c>
    </row>
    <row r="39" spans="2:18" x14ac:dyDescent="0.35">
      <c r="B39" s="56"/>
      <c r="C39" s="10" t="s">
        <v>125</v>
      </c>
    </row>
    <row r="40" spans="2:18" ht="15" thickBot="1" x14ac:dyDescent="0.4">
      <c r="B40" s="57"/>
      <c r="C40" s="11" t="s">
        <v>97</v>
      </c>
    </row>
    <row r="41" spans="2:18" x14ac:dyDescent="0.35">
      <c r="B41" s="55" t="s">
        <v>126</v>
      </c>
      <c r="C41" s="23" t="s">
        <v>2</v>
      </c>
      <c r="E41" s="176">
        <f>'Expend Sheet - Online'!E4</f>
        <v>2000</v>
      </c>
      <c r="I41" s="176">
        <f>'Expend Sheet - Online'!E8</f>
        <v>2000</v>
      </c>
      <c r="L41" s="176">
        <f>'Expend Sheet - Online'!E11</f>
        <v>550</v>
      </c>
      <c r="O41" s="176">
        <f>'Expend Sheet - Online'!E14</f>
        <v>1500</v>
      </c>
      <c r="Q41" s="176">
        <f>'Expend Sheet - Online'!E16</f>
        <v>1500</v>
      </c>
      <c r="R41" s="176">
        <f>'Expend Sheet - Online'!E17</f>
        <v>1500</v>
      </c>
    </row>
    <row r="42" spans="2:18" x14ac:dyDescent="0.35">
      <c r="B42" s="56"/>
      <c r="C42" s="10" t="s">
        <v>124</v>
      </c>
    </row>
    <row r="43" spans="2:18" x14ac:dyDescent="0.35">
      <c r="B43" s="56"/>
      <c r="C43" s="10" t="s">
        <v>125</v>
      </c>
    </row>
    <row r="44" spans="2:18" ht="15" thickBot="1" x14ac:dyDescent="0.4">
      <c r="B44" s="57"/>
      <c r="C44" s="11" t="s">
        <v>97</v>
      </c>
    </row>
    <row r="45" spans="2:18" x14ac:dyDescent="0.35">
      <c r="B45" s="55" t="s">
        <v>60</v>
      </c>
      <c r="C45" s="23" t="s">
        <v>2</v>
      </c>
      <c r="E45" s="176">
        <f>'Expend Sheet - Online'!E4</f>
        <v>2000</v>
      </c>
      <c r="I45" s="176">
        <f>'Expend Sheet - Online'!E8</f>
        <v>2000</v>
      </c>
      <c r="L45" s="176">
        <f>'Expend Sheet - Online'!E11</f>
        <v>550</v>
      </c>
      <c r="O45" s="176">
        <f>'Expend Sheet - Online'!E14</f>
        <v>1500</v>
      </c>
      <c r="Q45" s="176">
        <f>'Expend Sheet - Online'!E16</f>
        <v>1500</v>
      </c>
      <c r="R45" s="176">
        <f>'Expend Sheet - Online'!E17</f>
        <v>1500</v>
      </c>
    </row>
    <row r="46" spans="2:18" x14ac:dyDescent="0.35">
      <c r="B46" s="56"/>
      <c r="C46" s="10" t="s">
        <v>124</v>
      </c>
    </row>
    <row r="47" spans="2:18" x14ac:dyDescent="0.35">
      <c r="B47" s="56"/>
      <c r="C47" s="10" t="s">
        <v>125</v>
      </c>
    </row>
    <row r="48" spans="2:18" ht="15" thickBot="1" x14ac:dyDescent="0.4">
      <c r="B48" s="57"/>
      <c r="C48" s="11" t="s">
        <v>97</v>
      </c>
    </row>
    <row r="49" spans="2:18" x14ac:dyDescent="0.35">
      <c r="B49" s="55" t="s">
        <v>64</v>
      </c>
      <c r="C49" s="23" t="s">
        <v>2</v>
      </c>
      <c r="E49" s="176">
        <f>'Expend Sheet - Online'!E4</f>
        <v>2000</v>
      </c>
      <c r="I49" s="176">
        <f>'Expend Sheet - Online'!E8</f>
        <v>2000</v>
      </c>
      <c r="L49" s="176">
        <f>'Expend Sheet - Online'!E11</f>
        <v>550</v>
      </c>
      <c r="O49" s="176">
        <f>'Expend Sheet - Online'!E14</f>
        <v>1500</v>
      </c>
      <c r="Q49" s="176">
        <f>'Expend Sheet - Online'!E16</f>
        <v>1500</v>
      </c>
      <c r="R49" s="176">
        <f>'Expend Sheet - Online'!E17</f>
        <v>1500</v>
      </c>
    </row>
    <row r="50" spans="2:18" x14ac:dyDescent="0.35">
      <c r="B50" s="56"/>
      <c r="C50" s="10" t="s">
        <v>124</v>
      </c>
    </row>
    <row r="51" spans="2:18" x14ac:dyDescent="0.35">
      <c r="B51" s="56"/>
      <c r="C51" s="10" t="s">
        <v>125</v>
      </c>
    </row>
    <row r="52" spans="2:18" ht="15" thickBot="1" x14ac:dyDescent="0.4">
      <c r="B52" s="57"/>
      <c r="C52" s="11" t="s">
        <v>97</v>
      </c>
    </row>
    <row r="53" spans="2:18" x14ac:dyDescent="0.35">
      <c r="B53" s="55" t="s">
        <v>67</v>
      </c>
      <c r="C53" s="23" t="s">
        <v>2</v>
      </c>
      <c r="E53" s="176">
        <f>'Expend Sheet - Online'!E4</f>
        <v>2000</v>
      </c>
      <c r="I53" s="176">
        <f>'Expend Sheet - Online'!E8</f>
        <v>2000</v>
      </c>
      <c r="L53" s="176">
        <f>'Expend Sheet - Online'!E11</f>
        <v>550</v>
      </c>
      <c r="O53" s="176">
        <f>'Expend Sheet - Online'!E14</f>
        <v>1500</v>
      </c>
      <c r="Q53" s="176">
        <f>'Expend Sheet - Online'!E16</f>
        <v>1500</v>
      </c>
      <c r="R53" s="176">
        <f>'Expend Sheet - Online'!E17</f>
        <v>1500</v>
      </c>
    </row>
    <row r="54" spans="2:18" x14ac:dyDescent="0.35">
      <c r="B54" s="56"/>
      <c r="C54" s="10" t="s">
        <v>124</v>
      </c>
    </row>
    <row r="55" spans="2:18" x14ac:dyDescent="0.35">
      <c r="B55" s="56"/>
      <c r="C55" s="10" t="s">
        <v>125</v>
      </c>
    </row>
    <row r="56" spans="2:18" ht="15" thickBot="1" x14ac:dyDescent="0.4">
      <c r="B56" s="57"/>
      <c r="C56" s="11" t="s">
        <v>97</v>
      </c>
    </row>
    <row r="57" spans="2:18" x14ac:dyDescent="0.35">
      <c r="B57" s="55" t="s">
        <v>74</v>
      </c>
      <c r="C57" s="23" t="s">
        <v>2</v>
      </c>
      <c r="E57" s="176">
        <f>'Expend Sheet - Online'!E4</f>
        <v>2000</v>
      </c>
      <c r="I57" s="176">
        <f>'Expend Sheet - Online'!E8</f>
        <v>2000</v>
      </c>
      <c r="L57" s="176">
        <f>'Expend Sheet - Online'!E11</f>
        <v>550</v>
      </c>
      <c r="O57" s="176">
        <f>'Expend Sheet - Online'!E14</f>
        <v>1500</v>
      </c>
      <c r="Q57" s="176">
        <f>'Expend Sheet - Online'!E16</f>
        <v>1500</v>
      </c>
      <c r="R57" s="176">
        <f>'Expend Sheet - Online'!E17</f>
        <v>1500</v>
      </c>
    </row>
    <row r="58" spans="2:18" x14ac:dyDescent="0.35">
      <c r="B58" s="56"/>
      <c r="C58" s="10" t="s">
        <v>124</v>
      </c>
    </row>
    <row r="59" spans="2:18" x14ac:dyDescent="0.35">
      <c r="B59" s="56"/>
      <c r="C59" s="10" t="s">
        <v>125</v>
      </c>
    </row>
    <row r="60" spans="2:18" ht="15" thickBot="1" x14ac:dyDescent="0.4">
      <c r="B60" s="57"/>
      <c r="C60" s="11" t="s">
        <v>97</v>
      </c>
    </row>
    <row r="61" spans="2:18" x14ac:dyDescent="0.35">
      <c r="B61" s="55" t="s">
        <v>76</v>
      </c>
      <c r="C61" s="23" t="s">
        <v>2</v>
      </c>
      <c r="E61" s="176">
        <f>'Expend Sheet - Online'!E4</f>
        <v>2000</v>
      </c>
      <c r="I61" s="176">
        <f>'Expend Sheet - Online'!E8</f>
        <v>2000</v>
      </c>
      <c r="L61" s="176">
        <f>'Expend Sheet - Online'!E11</f>
        <v>550</v>
      </c>
      <c r="O61" s="176">
        <f>'Expend Sheet - Online'!E14</f>
        <v>1500</v>
      </c>
      <c r="Q61" s="176">
        <f>'Expend Sheet - Online'!E16</f>
        <v>1500</v>
      </c>
      <c r="R61" s="176">
        <f>'Expend Sheet - Online'!E17</f>
        <v>1500</v>
      </c>
    </row>
    <row r="62" spans="2:18" x14ac:dyDescent="0.35">
      <c r="B62" s="56"/>
      <c r="C62" s="10" t="s">
        <v>124</v>
      </c>
    </row>
    <row r="63" spans="2:18" x14ac:dyDescent="0.35">
      <c r="B63" s="56"/>
      <c r="C63" s="10" t="s">
        <v>125</v>
      </c>
    </row>
    <row r="64" spans="2:18" ht="15" thickBot="1" x14ac:dyDescent="0.4">
      <c r="B64" s="57"/>
      <c r="C64" s="11" t="s">
        <v>97</v>
      </c>
    </row>
    <row r="65" spans="2:18" x14ac:dyDescent="0.35">
      <c r="B65" s="55" t="s">
        <v>80</v>
      </c>
      <c r="C65" s="23" t="s">
        <v>2</v>
      </c>
      <c r="E65" s="176">
        <f>'Expend Sheet - Online'!E4</f>
        <v>2000</v>
      </c>
      <c r="I65" s="176">
        <f>'Expend Sheet - Online'!E8</f>
        <v>2000</v>
      </c>
      <c r="L65" s="176">
        <f>'Expend Sheet - Online'!E11</f>
        <v>550</v>
      </c>
      <c r="O65" s="176">
        <f>'Expend Sheet - Online'!E14</f>
        <v>1500</v>
      </c>
      <c r="Q65" s="176">
        <f>'Expend Sheet - Online'!E16</f>
        <v>1500</v>
      </c>
      <c r="R65" s="176">
        <f>'Expend Sheet - Online'!E17</f>
        <v>1500</v>
      </c>
    </row>
    <row r="66" spans="2:18" x14ac:dyDescent="0.35">
      <c r="B66" s="56"/>
      <c r="C66" s="10" t="s">
        <v>124</v>
      </c>
    </row>
    <row r="67" spans="2:18" x14ac:dyDescent="0.35">
      <c r="B67" s="56"/>
      <c r="C67" s="10" t="s">
        <v>125</v>
      </c>
    </row>
    <row r="68" spans="2:18" ht="15" thickBot="1" x14ac:dyDescent="0.4">
      <c r="B68" s="57"/>
      <c r="C68" s="11" t="s">
        <v>97</v>
      </c>
    </row>
    <row r="69" spans="2:18" x14ac:dyDescent="0.35">
      <c r="B69" s="55" t="s">
        <v>84</v>
      </c>
      <c r="C69" s="23" t="s">
        <v>2</v>
      </c>
      <c r="E69" s="176">
        <f>'Expend Sheet - Online'!E4</f>
        <v>2000</v>
      </c>
      <c r="I69" s="176">
        <f>'Expend Sheet - Online'!E8</f>
        <v>2000</v>
      </c>
      <c r="L69" s="176">
        <f>'Expend Sheet - Online'!E11</f>
        <v>550</v>
      </c>
      <c r="O69" s="176">
        <f>'Expend Sheet - Online'!E14</f>
        <v>1500</v>
      </c>
      <c r="Q69" s="176">
        <f>'Expend Sheet - Online'!E16</f>
        <v>1500</v>
      </c>
      <c r="R69" s="176">
        <f>'Expend Sheet - Online'!E17</f>
        <v>1500</v>
      </c>
    </row>
    <row r="70" spans="2:18" x14ac:dyDescent="0.35">
      <c r="B70" s="56"/>
      <c r="C70" s="10" t="s">
        <v>124</v>
      </c>
    </row>
    <row r="71" spans="2:18" x14ac:dyDescent="0.35">
      <c r="B71" s="56"/>
      <c r="C71" s="10" t="s">
        <v>125</v>
      </c>
    </row>
    <row r="72" spans="2:18" ht="15" thickBot="1" x14ac:dyDescent="0.4">
      <c r="B72" s="57"/>
      <c r="C72" s="11" t="s">
        <v>97</v>
      </c>
    </row>
    <row r="73" spans="2:18" x14ac:dyDescent="0.35">
      <c r="B73" s="55" t="s">
        <v>86</v>
      </c>
      <c r="C73" s="23" t="s">
        <v>2</v>
      </c>
      <c r="E73" s="176">
        <f>'Expend Sheet - Online'!E4</f>
        <v>2000</v>
      </c>
      <c r="I73" s="176">
        <f>'Expend Sheet - Online'!E8</f>
        <v>2000</v>
      </c>
      <c r="L73" s="176">
        <f>'Expend Sheet - Online'!E11</f>
        <v>550</v>
      </c>
      <c r="O73" s="176">
        <f>'Expend Sheet - Online'!E14</f>
        <v>1500</v>
      </c>
      <c r="Q73" s="176">
        <f>'Expend Sheet - Online'!E16</f>
        <v>1500</v>
      </c>
      <c r="R73" s="176">
        <f>'Expend Sheet - Online'!E17</f>
        <v>1500</v>
      </c>
    </row>
    <row r="74" spans="2:18" x14ac:dyDescent="0.35">
      <c r="B74" s="56"/>
      <c r="C74" s="10" t="s">
        <v>124</v>
      </c>
    </row>
    <row r="75" spans="2:18" x14ac:dyDescent="0.35">
      <c r="B75" s="56"/>
      <c r="C75" s="10" t="s">
        <v>125</v>
      </c>
    </row>
    <row r="76" spans="2:18" ht="15" thickBot="1" x14ac:dyDescent="0.4">
      <c r="B76" s="57"/>
      <c r="C76" s="11" t="s">
        <v>97</v>
      </c>
    </row>
    <row r="77" spans="2:18" x14ac:dyDescent="0.35">
      <c r="B77" s="55" t="s">
        <v>91</v>
      </c>
      <c r="C77" s="23" t="s">
        <v>2</v>
      </c>
      <c r="E77" s="176">
        <f>'Expend Sheet - Online'!E4</f>
        <v>2000</v>
      </c>
      <c r="I77" s="176">
        <f>'Expend Sheet - Online'!E8</f>
        <v>2000</v>
      </c>
      <c r="L77" s="176">
        <f>'Expend Sheet - Online'!E11</f>
        <v>550</v>
      </c>
      <c r="O77" s="176">
        <f>'Expend Sheet - Online'!E14</f>
        <v>1500</v>
      </c>
      <c r="Q77" s="176">
        <f>'Expend Sheet - Online'!E16</f>
        <v>1500</v>
      </c>
      <c r="R77" s="176">
        <f>'Expend Sheet - Online'!E17</f>
        <v>1500</v>
      </c>
    </row>
    <row r="78" spans="2:18" x14ac:dyDescent="0.35">
      <c r="B78" s="56"/>
      <c r="C78" s="10" t="s">
        <v>124</v>
      </c>
    </row>
    <row r="79" spans="2:18" x14ac:dyDescent="0.35">
      <c r="B79" s="56"/>
      <c r="C79" s="10" t="s">
        <v>125</v>
      </c>
    </row>
    <row r="80" spans="2:18" ht="15" thickBot="1" x14ac:dyDescent="0.4">
      <c r="B80" s="57"/>
      <c r="C80" s="11" t="s">
        <v>97</v>
      </c>
    </row>
  </sheetData>
  <mergeCells count="50">
    <mergeCell ref="B9:B12"/>
    <mergeCell ref="B5:B8"/>
    <mergeCell ref="C2:C4"/>
    <mergeCell ref="B53:B56"/>
    <mergeCell ref="B49:B52"/>
    <mergeCell ref="B45:B48"/>
    <mergeCell ref="B41:B44"/>
    <mergeCell ref="B37:B40"/>
    <mergeCell ref="B33:B36"/>
    <mergeCell ref="B77:B80"/>
    <mergeCell ref="B73:B76"/>
    <mergeCell ref="B69:B72"/>
    <mergeCell ref="B65:B68"/>
    <mergeCell ref="B61:B64"/>
    <mergeCell ref="B57:B60"/>
    <mergeCell ref="X3:Z3"/>
    <mergeCell ref="AA3:AD3"/>
    <mergeCell ref="AE3:AH3"/>
    <mergeCell ref="AI3:AM3"/>
    <mergeCell ref="D2:F2"/>
    <mergeCell ref="G2:J2"/>
    <mergeCell ref="K2:N2"/>
    <mergeCell ref="O2:S2"/>
    <mergeCell ref="T2:W2"/>
    <mergeCell ref="X2:AM2"/>
    <mergeCell ref="O3:O4"/>
    <mergeCell ref="P3:P4"/>
    <mergeCell ref="T3:T4"/>
    <mergeCell ref="U3:U4"/>
    <mergeCell ref="V3:V4"/>
    <mergeCell ref="W3:W4"/>
    <mergeCell ref="Q3:R3"/>
    <mergeCell ref="S3:S4"/>
    <mergeCell ref="I3:I4"/>
    <mergeCell ref="J3:J4"/>
    <mergeCell ref="K3:K4"/>
    <mergeCell ref="L3:L4"/>
    <mergeCell ref="M3:M4"/>
    <mergeCell ref="N3:N4"/>
    <mergeCell ref="D3:D4"/>
    <mergeCell ref="E3:E4"/>
    <mergeCell ref="F3:F4"/>
    <mergeCell ref="G3:G4"/>
    <mergeCell ref="H3:H4"/>
    <mergeCell ref="B29:B32"/>
    <mergeCell ref="B25:B28"/>
    <mergeCell ref="B3:B4"/>
    <mergeCell ref="B21:B24"/>
    <mergeCell ref="B17:B20"/>
    <mergeCell ref="B13:B1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9B2-8E85-41A1-96DE-498247677E09}">
  <sheetPr codeName="Sheet4"/>
  <dimension ref="B1:J11"/>
  <sheetViews>
    <sheetView showGridLines="0" zoomScale="80" zoomScaleNormal="80" workbookViewId="0">
      <selection activeCell="B2" sqref="B2"/>
    </sheetView>
  </sheetViews>
  <sheetFormatPr defaultRowHeight="14.5" x14ac:dyDescent="0.35"/>
  <cols>
    <col min="2" max="2" width="14.7265625" bestFit="1" customWidth="1"/>
    <col min="3" max="3" width="9" bestFit="1" customWidth="1"/>
    <col min="4" max="4" width="12.90625" bestFit="1" customWidth="1"/>
    <col min="5" max="5" width="11.90625" bestFit="1" customWidth="1"/>
    <col min="6" max="6" width="14.08984375" bestFit="1" customWidth="1"/>
    <col min="7" max="7" width="8.81640625" bestFit="1" customWidth="1"/>
    <col min="8" max="8" width="4.08984375" bestFit="1" customWidth="1"/>
    <col min="9" max="9" width="13.81640625" bestFit="1" customWidth="1"/>
    <col min="10" max="10" width="8.6328125" bestFit="1" customWidth="1"/>
  </cols>
  <sheetData>
    <row r="1" spans="2:10" ht="15" thickBot="1" x14ac:dyDescent="0.4"/>
    <row r="2" spans="2:10" ht="15" thickBot="1" x14ac:dyDescent="0.4">
      <c r="B2" s="4" t="s">
        <v>1</v>
      </c>
      <c r="C2" s="167" t="s">
        <v>92</v>
      </c>
      <c r="D2" s="168"/>
      <c r="E2" s="4" t="s">
        <v>2</v>
      </c>
      <c r="F2" s="4" t="s">
        <v>94</v>
      </c>
      <c r="G2" s="4" t="s">
        <v>96</v>
      </c>
      <c r="H2" s="8" t="s">
        <v>97</v>
      </c>
      <c r="I2" s="8" t="s">
        <v>98</v>
      </c>
      <c r="J2" s="4" t="s">
        <v>95</v>
      </c>
    </row>
    <row r="3" spans="2:10" ht="15" thickBot="1" x14ac:dyDescent="0.4">
      <c r="B3" s="67" t="s">
        <v>122</v>
      </c>
      <c r="C3" s="170" t="s">
        <v>43</v>
      </c>
      <c r="D3" s="171"/>
    </row>
    <row r="4" spans="2:10" ht="15" thickBot="1" x14ac:dyDescent="0.4">
      <c r="B4" s="53"/>
      <c r="C4" s="170" t="s">
        <v>82</v>
      </c>
      <c r="D4" s="171"/>
    </row>
    <row r="5" spans="2:10" ht="15" thickBot="1" x14ac:dyDescent="0.4">
      <c r="B5" s="53"/>
      <c r="C5" s="170" t="s">
        <v>79</v>
      </c>
      <c r="D5" s="171"/>
    </row>
    <row r="6" spans="2:10" ht="15" thickBot="1" x14ac:dyDescent="0.4">
      <c r="B6" s="53"/>
      <c r="C6" s="170" t="s">
        <v>34</v>
      </c>
      <c r="D6" s="171"/>
    </row>
    <row r="7" spans="2:10" ht="15" thickBot="1" x14ac:dyDescent="0.4">
      <c r="B7" s="53"/>
      <c r="C7" s="55" t="s">
        <v>35</v>
      </c>
      <c r="D7" s="92" t="s">
        <v>28</v>
      </c>
    </row>
    <row r="8" spans="2:10" ht="15" thickBot="1" x14ac:dyDescent="0.4">
      <c r="B8" s="53"/>
      <c r="C8" s="56"/>
      <c r="D8" s="92" t="s">
        <v>27</v>
      </c>
    </row>
    <row r="9" spans="2:10" ht="15" thickBot="1" x14ac:dyDescent="0.4">
      <c r="B9" s="53"/>
      <c r="C9" s="56"/>
      <c r="D9" s="92" t="s">
        <v>105</v>
      </c>
    </row>
    <row r="10" spans="2:10" ht="15" thickBot="1" x14ac:dyDescent="0.4">
      <c r="B10" s="53"/>
      <c r="C10" s="57"/>
      <c r="D10" s="92" t="s">
        <v>26</v>
      </c>
    </row>
    <row r="11" spans="2:10" ht="15" thickBot="1" x14ac:dyDescent="0.4">
      <c r="B11" s="54"/>
      <c r="C11" s="170" t="s">
        <v>105</v>
      </c>
      <c r="D11" s="171"/>
    </row>
  </sheetData>
  <mergeCells count="8">
    <mergeCell ref="C2:D2"/>
    <mergeCell ref="B3:B11"/>
    <mergeCell ref="C3:D3"/>
    <mergeCell ref="C4:D4"/>
    <mergeCell ref="C5:D5"/>
    <mergeCell ref="C6:D6"/>
    <mergeCell ref="C7:C10"/>
    <mergeCell ref="C11:D1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238261E73C88439BB98AF91E7C8BB9" ma:contentTypeVersion="12" ma:contentTypeDescription="Create a new document." ma:contentTypeScope="" ma:versionID="ce24275585ad6faa1994631f599f0ad0">
  <xsd:schema xmlns:xsd="http://www.w3.org/2001/XMLSchema" xmlns:xs="http://www.w3.org/2001/XMLSchema" xmlns:p="http://schemas.microsoft.com/office/2006/metadata/properties" xmlns:ns2="df96cac6-5edc-4d96-a14f-21dec8cebb64" xmlns:ns3="e6f9aa0a-a4db-4c69-b1fa-f7c559ce6762" targetNamespace="http://schemas.microsoft.com/office/2006/metadata/properties" ma:root="true" ma:fieldsID="e48c4e51891a7ad7a9848e84a11e2199" ns2:_="" ns3:_="">
    <xsd:import namespace="df96cac6-5edc-4d96-a14f-21dec8cebb64"/>
    <xsd:import namespace="e6f9aa0a-a4db-4c69-b1fa-f7c559ce676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96cac6-5edc-4d96-a14f-21dec8cebb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f9aa0a-a4db-4c69-b1fa-f7c559ce6762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DA40E62-5ECC-4144-92E7-0FF30F02625D}"/>
</file>

<file path=customXml/itemProps2.xml><?xml version="1.0" encoding="utf-8"?>
<ds:datastoreItem xmlns:ds="http://schemas.openxmlformats.org/officeDocument/2006/customXml" ds:itemID="{EA6911F6-0C30-48CD-B71E-59336500A37A}"/>
</file>

<file path=customXml/itemProps3.xml><?xml version="1.0" encoding="utf-8"?>
<ds:datastoreItem xmlns:ds="http://schemas.openxmlformats.org/officeDocument/2006/customXml" ds:itemID="{BAD42BE7-AF55-4833-B3D9-D91FA9CAA5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Log Sheet</vt:lpstr>
      <vt:lpstr>Expend Sheet - Online</vt:lpstr>
      <vt:lpstr>Card Sheet</vt:lpstr>
      <vt:lpstr>Expend Sheet - Offline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Sudhanshu Aggarwal</dc:creator>
  <cp:lastModifiedBy>Sudhanshu Aggarwal</cp:lastModifiedBy>
  <dcterms:created xsi:type="dcterms:W3CDTF">2020-03-25T12:34:43Z</dcterms:created>
  <dcterms:modified xsi:type="dcterms:W3CDTF">2020-03-28T20:45:33Z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0x01010080238261E73C88439BB98AF91E7C8BB9</vt:lpwstr>
  </property>
</Properties>
</file>