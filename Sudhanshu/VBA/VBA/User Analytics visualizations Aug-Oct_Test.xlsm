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dhanshu.aggarwal\Downloads\MARs\UserAnalytics\"/>
    </mc:Choice>
  </mc:AlternateContent>
  <xr:revisionPtr revIDLastSave="0" documentId="13_ncr:1_{E3A87BC0-C13D-47CD-8AC3-E7C1D0374847}" xr6:coauthVersionLast="45" xr6:coauthVersionMax="45" xr10:uidLastSave="{00000000-0000-0000-0000-000000000000}"/>
  <bookViews>
    <workbookView xWindow="-110" yWindow="-110" windowWidth="19420" windowHeight="11020" xr2:uid="{C4B29576-AD51-407D-ADEE-23261550A569}"/>
  </bookViews>
  <sheets>
    <sheet name="Slide 6" sheetId="4" r:id="rId1"/>
    <sheet name="Viz 5" sheetId="5" r:id="rId2"/>
    <sheet name="Viz 6" sheetId="6" r:id="rId3"/>
    <sheet name="Viz 1" sheetId="1" r:id="rId4"/>
    <sheet name="Pivottable" sheetId="16" r:id="rId5"/>
    <sheet name="Viz 2" sheetId="2" r:id="rId6"/>
    <sheet name="Viz 7" sheetId="7" r:id="rId7"/>
    <sheet name="Viz 3" sheetId="3" r:id="rId8"/>
  </sheets>
  <calcPr calcId="191029"/>
  <pivotCaches>
    <pivotCache cacheId="0" r:id="rId9"/>
    <pivotCache cacheId="58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4" l="1" a="1"/>
  <c r="G2" i="4" s="1"/>
  <c r="F2" i="4" a="1"/>
  <c r="F2" i="4" s="1"/>
  <c r="G1" i="4"/>
  <c r="F1" i="4"/>
  <c r="E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<sst xmlns="http://schemas.openxmlformats.org/spreadsheetml/2006/main" count="603" uniqueCount="100">
  <si>
    <t>Team</t>
  </si>
  <si>
    <t>Month_Logged</t>
  </si>
  <si>
    <t>Visits</t>
  </si>
  <si>
    <t>Portugal</t>
  </si>
  <si>
    <t>Jul</t>
  </si>
  <si>
    <t>Romania</t>
  </si>
  <si>
    <t>Ireland</t>
  </si>
  <si>
    <t>Jun</t>
  </si>
  <si>
    <t>Oct</t>
  </si>
  <si>
    <t>Sweden</t>
  </si>
  <si>
    <t>France</t>
  </si>
  <si>
    <t>Switzerland</t>
  </si>
  <si>
    <t>Sep</t>
  </si>
  <si>
    <t>Austria</t>
  </si>
  <si>
    <t>Aug</t>
  </si>
  <si>
    <t>Belgium</t>
  </si>
  <si>
    <t>UK</t>
  </si>
  <si>
    <t>Italy</t>
  </si>
  <si>
    <t>Global</t>
  </si>
  <si>
    <t>Hong Kong</t>
  </si>
  <si>
    <t>Russia</t>
  </si>
  <si>
    <t>Germany</t>
  </si>
  <si>
    <t>Saudi Arabia</t>
  </si>
  <si>
    <t>Finance</t>
  </si>
  <si>
    <t>Denmark</t>
  </si>
  <si>
    <t>Spain</t>
  </si>
  <si>
    <t>Netherland</t>
  </si>
  <si>
    <t>US</t>
  </si>
  <si>
    <t>Dashboard</t>
  </si>
  <si>
    <t>Week_Number</t>
  </si>
  <si>
    <t>KIND 360 - Market View_vf - Updated</t>
  </si>
  <si>
    <t>KIND 360 - Global View_vf - Updated</t>
  </si>
  <si>
    <t>Market</t>
  </si>
  <si>
    <t>PT</t>
  </si>
  <si>
    <t>FR</t>
  </si>
  <si>
    <t>AT</t>
  </si>
  <si>
    <t>HK</t>
  </si>
  <si>
    <t>CH</t>
  </si>
  <si>
    <t>RU</t>
  </si>
  <si>
    <t>NA</t>
  </si>
  <si>
    <t>IE</t>
  </si>
  <si>
    <t>BE</t>
  </si>
  <si>
    <t>SE</t>
  </si>
  <si>
    <t>NL</t>
  </si>
  <si>
    <t>KSA/UAE</t>
  </si>
  <si>
    <t>IT</t>
  </si>
  <si>
    <t>ES</t>
  </si>
  <si>
    <t>DE</t>
  </si>
  <si>
    <t>RO</t>
  </si>
  <si>
    <t>DK</t>
  </si>
  <si>
    <t>User_concat</t>
  </si>
  <si>
    <t>ABDELLATIF, AHMED  (Saudi Arabia)</t>
  </si>
  <si>
    <t>SABBAGH, JIHAD  (Global)</t>
  </si>
  <si>
    <t>SELIVERSTOVA, ANASTASIA  (Russia)</t>
  </si>
  <si>
    <t>ESTLANDER, MARIA (Denmark &amp; Belgium)</t>
  </si>
  <si>
    <t>GSCHWANDTNER, KLAUS  (Austria &amp; Germany &amp; Switzerland)</t>
  </si>
  <si>
    <t>FAKHREDDINE, RAMI  (Saudi Arabia)</t>
  </si>
  <si>
    <t>CINAR, BERK  (Global)</t>
  </si>
  <si>
    <t>SOBH, FATIMA  (Saudi Arabia)</t>
  </si>
  <si>
    <t>MELLANDER, FREDRIKA  (Denmark)</t>
  </si>
  <si>
    <t>DE WIT, HUGO  (Belgium)</t>
  </si>
  <si>
    <t>ARAFA, AHMED  (Saudi Arabia)</t>
  </si>
  <si>
    <t>KACZMAREK, MARTYNA  (Romania)</t>
  </si>
  <si>
    <t>BAUME, ROMAIN  (Global)</t>
  </si>
  <si>
    <t>CLEARY, SIOBHAN  (Global)</t>
  </si>
  <si>
    <t>RODRIGUEZ, DAVID  (Global)</t>
  </si>
  <si>
    <t>VAESSEN, RANDY  (Netherland)</t>
  </si>
  <si>
    <t>LEGREZ, DIANE  (Germany)</t>
  </si>
  <si>
    <t>GEORGE, KEVIN  (UK)</t>
  </si>
  <si>
    <t>WOLF, ANNA LENA  (Germany)</t>
  </si>
  <si>
    <t>DIMONTOVA, ROBERT  (Global)</t>
  </si>
  <si>
    <t>Visitors</t>
  </si>
  <si>
    <t>Targeted Users</t>
  </si>
  <si>
    <t>Day_Diff</t>
  </si>
  <si>
    <t>Target_Market_Users</t>
  </si>
  <si>
    <t>Actual_Market_Users</t>
  </si>
  <si>
    <t>Chart Header</t>
  </si>
  <si>
    <t>Average Unique Monthly Visits</t>
  </si>
  <si>
    <t>Y Axis</t>
  </si>
  <si>
    <t>Users Arranged in Descending Order of their Visits</t>
  </si>
  <si>
    <t>X Axis</t>
  </si>
  <si>
    <t>Number of Visits</t>
  </si>
  <si>
    <t>Sum of Visits</t>
  </si>
  <si>
    <t>Grand Total</t>
  </si>
  <si>
    <t>Slide 13</t>
  </si>
  <si>
    <t>Slide 7</t>
  </si>
  <si>
    <t>Sort with respect to alphabetical order</t>
  </si>
  <si>
    <t>Sort with alphabetical order</t>
  </si>
  <si>
    <t>Slide 11</t>
  </si>
  <si>
    <t>We need to know how the visits are calculated</t>
  </si>
  <si>
    <t>alphabetical ortder</t>
  </si>
  <si>
    <t>Slide 10</t>
  </si>
  <si>
    <t>Oct 1 Remove</t>
  </si>
  <si>
    <t>Calculate percentage</t>
  </si>
  <si>
    <t>plot the graph</t>
  </si>
  <si>
    <t>sort alphabetical</t>
  </si>
  <si>
    <t>Slide 12 &amp; Slide 13</t>
  </si>
  <si>
    <t>60-40</t>
  </si>
  <si>
    <t>&lt;40</t>
  </si>
  <si>
    <t>high - 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</si>
</sst>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NumberFormat="1" applyFont="1"/>
    <xf numFmtId="0" fontId="0" fillId="0" borderId="0" xfId="0" pivotButton="1"/>
    <xf numFmtId="0" fontId="0" fillId="0" borderId="0" xfId="0" applyNumberFormat="1"/>
    <xf numFmtId="0" fontId="0" fillId="3" borderId="3" xfId="0" applyFont="1" applyFill="1" applyBorder="1"/>
    <xf numFmtId="0" fontId="0" fillId="0" borderId="3" xfId="0" applyFont="1" applyBorder="1"/>
    <xf numFmtId="0" fontId="2" fillId="2" borderId="1" xfId="0" applyFont="1" applyFill="1" applyBorder="1"/>
    <xf numFmtId="0" fontId="0" fillId="0" borderId="2" xfId="0" applyFont="1" applyBorder="1"/>
  </cellXfs>
  <cellStyles count="2">
    <cellStyle name="Comma" xfId="1" builtinId="3"/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</dxfs>
  <tableStyles count="0" defaultTableStyle="TableStyleMedium2" defaultPivotStyle="PivotStyleLight16"/>
  <colors>
    <mruColors>
      <color rgb="FFFEA900"/>
      <color rgb="FFE92B2D"/>
      <color rgb="FF4BBBEB"/>
      <color rgb="FFB9BE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Unique Monthly Visits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'Slide 6'!$B$1</c:f>
              <c:strCache>
                <c:ptCount val="1"/>
                <c:pt idx="0">
                  <c:v>Visits</c:v>
                </c:pt>
              </c:strCache>
            </c:strRef>
          </c:tx>
          <c:spPr>
            <a:solidFill>
              <a:srgbClr val="FEA9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11-4D4F-8AA8-2CF72924421F}"/>
              </c:ext>
            </c:extLst>
          </c:dPt>
          <c:dPt>
            <c:idx val="1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911-4D4F-8AA8-2CF72924421F}"/>
              </c:ext>
            </c:extLst>
          </c:dPt>
          <c:dPt>
            <c:idx val="2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911-4D4F-8AA8-2CF72924421F}"/>
              </c:ext>
            </c:extLst>
          </c:dPt>
          <c:dPt>
            <c:idx val="3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911-4D4F-8AA8-2CF72924421F}"/>
              </c:ext>
            </c:extLst>
          </c:dPt>
          <c:dPt>
            <c:idx val="4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911-4D4F-8AA8-2CF72924421F}"/>
              </c:ext>
            </c:extLst>
          </c:dPt>
          <c:dPt>
            <c:idx val="5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911-4D4F-8AA8-2CF72924421F}"/>
              </c:ext>
            </c:extLst>
          </c:dPt>
          <c:dPt>
            <c:idx val="6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911-4D4F-8AA8-2CF72924421F}"/>
              </c:ext>
            </c:extLst>
          </c:dPt>
          <c:dPt>
            <c:idx val="14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911-4D4F-8AA8-2CF72924421F}"/>
              </c:ext>
            </c:extLst>
          </c:dPt>
          <c:dPt>
            <c:idx val="15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911-4D4F-8AA8-2CF72924421F}"/>
              </c:ext>
            </c:extLst>
          </c:dPt>
          <c:dPt>
            <c:idx val="16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911-4D4F-8AA8-2CF72924421F}"/>
              </c:ext>
            </c:extLst>
          </c:dPt>
          <c:dPt>
            <c:idx val="17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911-4D4F-8AA8-2CF72924421F}"/>
              </c:ext>
            </c:extLst>
          </c:dPt>
          <c:dPt>
            <c:idx val="18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911-4D4F-8AA8-2CF72924421F}"/>
              </c:ext>
            </c:extLst>
          </c:dPt>
          <c:dPt>
            <c:idx val="19"/>
            <c:invertIfNegative val="0"/>
            <c:bubble3D val="0"/>
            <c:spPr>
              <a:solidFill>
                <a:srgbClr val="B9BE1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911-4D4F-8AA8-2CF72924421F}"/>
              </c:ext>
            </c:extLst>
          </c:dPt>
          <c:cat>
            <c:strRef>
              <c:f>'Slide 6'!$A$2:$A$21</c:f>
              <c:strCache>
                <c:ptCount val="20"/>
                <c:pt idx="0">
                  <c:v>DIMONTOVA, ROBERT  (Global)</c:v>
                </c:pt>
                <c:pt idx="1">
                  <c:v>WOLF, ANNA LENA  (Germany)</c:v>
                </c:pt>
                <c:pt idx="2">
                  <c:v>VAESSEN, RANDY  (Netherland)</c:v>
                </c:pt>
                <c:pt idx="3">
                  <c:v>LEGREZ, DIANE  (Germany)</c:v>
                </c:pt>
                <c:pt idx="4">
                  <c:v>GEORGE, KEVIN  (UK)</c:v>
                </c:pt>
                <c:pt idx="5">
                  <c:v>RODRIGUEZ, DAVID  (Global)</c:v>
                </c:pt>
                <c:pt idx="6">
                  <c:v>CLEARY, SIOBHAN  (Global)</c:v>
                </c:pt>
                <c:pt idx="7">
                  <c:v>BAUME, ROMAIN  (Global)</c:v>
                </c:pt>
                <c:pt idx="8">
                  <c:v>KACZMAREK, MARTYNA  (Romania)</c:v>
                </c:pt>
                <c:pt idx="9">
                  <c:v>ARAFA, AHMED  (Saudi Arabia)</c:v>
                </c:pt>
                <c:pt idx="10">
                  <c:v>MELLANDER, FREDRIKA  (Denmark)</c:v>
                </c:pt>
                <c:pt idx="11">
                  <c:v>DE WIT, HUGO  (Belgium)</c:v>
                </c:pt>
                <c:pt idx="12">
                  <c:v>SOBH, FATIMA  (Saudi Arabia)</c:v>
                </c:pt>
                <c:pt idx="13">
                  <c:v>CINAR, BERK  (Global)</c:v>
                </c:pt>
                <c:pt idx="14">
                  <c:v>FAKHREDDINE, RAMI  (Saudi Arabia)</c:v>
                </c:pt>
                <c:pt idx="15">
                  <c:v>GSCHWANDTNER, KLAUS  (Austria &amp; Germany &amp; Switzerland)</c:v>
                </c:pt>
                <c:pt idx="16">
                  <c:v>ESTLANDER, MARIA (Denmark &amp; Belgium)</c:v>
                </c:pt>
                <c:pt idx="17">
                  <c:v>SELIVERSTOVA, ANASTASIA  (Russia)</c:v>
                </c:pt>
                <c:pt idx="18">
                  <c:v>SABBAGH, JIHAD  (Global)</c:v>
                </c:pt>
                <c:pt idx="19">
                  <c:v>ABDELLATIF, AHMED  (Saudi Arabia)</c:v>
                </c:pt>
              </c:strCache>
            </c:strRef>
          </c:cat>
          <c:val>
            <c:numRef>
              <c:f>'Slide 6'!$B$2:$B$21</c:f>
              <c:numCache>
                <c:formatCode>General</c:formatCode>
                <c:ptCount val="20"/>
                <c:pt idx="0">
                  <c:v>29</c:v>
                </c:pt>
                <c:pt idx="1">
                  <c:v>31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35</c:v>
                </c:pt>
                <c:pt idx="6">
                  <c:v>44</c:v>
                </c:pt>
                <c:pt idx="7">
                  <c:v>52</c:v>
                </c:pt>
                <c:pt idx="8">
                  <c:v>53</c:v>
                </c:pt>
                <c:pt idx="9">
                  <c:v>58</c:v>
                </c:pt>
                <c:pt idx="10">
                  <c:v>59</c:v>
                </c:pt>
                <c:pt idx="11">
                  <c:v>59</c:v>
                </c:pt>
                <c:pt idx="12">
                  <c:v>60</c:v>
                </c:pt>
                <c:pt idx="13">
                  <c:v>61</c:v>
                </c:pt>
                <c:pt idx="14">
                  <c:v>86</c:v>
                </c:pt>
                <c:pt idx="15">
                  <c:v>99</c:v>
                </c:pt>
                <c:pt idx="16">
                  <c:v>107</c:v>
                </c:pt>
                <c:pt idx="17">
                  <c:v>115</c:v>
                </c:pt>
                <c:pt idx="18">
                  <c:v>129</c:v>
                </c:pt>
                <c:pt idx="19">
                  <c:v>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1-4D4F-8AA8-2CF729244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47271807"/>
        <c:axId val="1356264431"/>
      </c:barChart>
      <c:catAx>
        <c:axId val="134727180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User Arranged in Descending Order of their Visits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264431"/>
        <c:crosses val="autoZero"/>
        <c:auto val="1"/>
        <c:lblAlgn val="ctr"/>
        <c:lblOffset val="100"/>
        <c:noMultiLvlLbl val="0"/>
      </c:catAx>
      <c:valAx>
        <c:axId val="13562644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Visits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271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Users Visiting Dashboard Vs Total Users Receiving Market Refresh Mails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'Viz 5'!$C$1</c:f>
              <c:strCache>
                <c:ptCount val="1"/>
                <c:pt idx="0">
                  <c:v>Targeted Users</c:v>
                </c:pt>
              </c:strCache>
            </c:strRef>
          </c:tx>
          <c:spPr>
            <a:solidFill>
              <a:srgbClr val="E92B2D"/>
            </a:solidFill>
            <a:ln>
              <a:noFill/>
            </a:ln>
            <a:effectLst/>
          </c:spPr>
          <c:invertIfNegative val="0"/>
          <c:cat>
            <c:strRef>
              <c:f>'Viz 5'!$A$2:$A$18</c:f>
              <c:strCache>
                <c:ptCount val="17"/>
                <c:pt idx="0">
                  <c:v>RO</c:v>
                </c:pt>
                <c:pt idx="1">
                  <c:v>AT</c:v>
                </c:pt>
                <c:pt idx="2">
                  <c:v>HK</c:v>
                </c:pt>
                <c:pt idx="3">
                  <c:v>BE</c:v>
                </c:pt>
                <c:pt idx="4">
                  <c:v>CH</c:v>
                </c:pt>
                <c:pt idx="5">
                  <c:v>DE</c:v>
                </c:pt>
                <c:pt idx="6">
                  <c:v>IE</c:v>
                </c:pt>
                <c:pt idx="7">
                  <c:v>NL</c:v>
                </c:pt>
                <c:pt idx="8">
                  <c:v>KSA/UAE</c:v>
                </c:pt>
                <c:pt idx="9">
                  <c:v>DK</c:v>
                </c:pt>
                <c:pt idx="10">
                  <c:v>RU</c:v>
                </c:pt>
                <c:pt idx="11">
                  <c:v>FR</c:v>
                </c:pt>
                <c:pt idx="12">
                  <c:v>IT</c:v>
                </c:pt>
                <c:pt idx="13">
                  <c:v>PT</c:v>
                </c:pt>
                <c:pt idx="14">
                  <c:v>ES</c:v>
                </c:pt>
                <c:pt idx="15">
                  <c:v>SE</c:v>
                </c:pt>
                <c:pt idx="16">
                  <c:v>UK</c:v>
                </c:pt>
              </c:strCache>
            </c:strRef>
          </c:cat>
          <c:val>
            <c:numRef>
              <c:f>'Viz 5'!$C$2:$C$18</c:f>
              <c:numCache>
                <c:formatCode>General</c:formatCode>
                <c:ptCount val="17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17</c:v>
                </c:pt>
                <c:pt idx="1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5F-4D56-BAFD-90C9B46DB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2214688"/>
        <c:axId val="1257547184"/>
      </c:barChart>
      <c:lineChart>
        <c:grouping val="standard"/>
        <c:varyColors val="0"/>
        <c:ser>
          <c:idx val="0"/>
          <c:order val="0"/>
          <c:tx>
            <c:strRef>
              <c:f>'Viz 5'!$B$1</c:f>
              <c:strCache>
                <c:ptCount val="1"/>
                <c:pt idx="0">
                  <c:v>Visitors</c:v>
                </c:pt>
              </c:strCache>
            </c:strRef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'Viz 5'!$A$2:$A$18</c:f>
              <c:strCache>
                <c:ptCount val="17"/>
                <c:pt idx="0">
                  <c:v>RO</c:v>
                </c:pt>
                <c:pt idx="1">
                  <c:v>AT</c:v>
                </c:pt>
                <c:pt idx="2">
                  <c:v>HK</c:v>
                </c:pt>
                <c:pt idx="3">
                  <c:v>BE</c:v>
                </c:pt>
                <c:pt idx="4">
                  <c:v>CH</c:v>
                </c:pt>
                <c:pt idx="5">
                  <c:v>DE</c:v>
                </c:pt>
                <c:pt idx="6">
                  <c:v>IE</c:v>
                </c:pt>
                <c:pt idx="7">
                  <c:v>NL</c:v>
                </c:pt>
                <c:pt idx="8">
                  <c:v>KSA/UAE</c:v>
                </c:pt>
                <c:pt idx="9">
                  <c:v>DK</c:v>
                </c:pt>
                <c:pt idx="10">
                  <c:v>RU</c:v>
                </c:pt>
                <c:pt idx="11">
                  <c:v>FR</c:v>
                </c:pt>
                <c:pt idx="12">
                  <c:v>IT</c:v>
                </c:pt>
                <c:pt idx="13">
                  <c:v>PT</c:v>
                </c:pt>
                <c:pt idx="14">
                  <c:v>ES</c:v>
                </c:pt>
                <c:pt idx="15">
                  <c:v>SE</c:v>
                </c:pt>
                <c:pt idx="16">
                  <c:v>UK</c:v>
                </c:pt>
              </c:strCache>
            </c:strRef>
          </c:cat>
          <c:val>
            <c:numRef>
              <c:f>'Viz 5'!$B$2:$B$18</c:f>
              <c:numCache>
                <c:formatCode>General</c:formatCode>
                <c:ptCount val="17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4</c:v>
                </c:pt>
                <c:pt idx="11">
                  <c:v>8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2</c:v>
                </c:pt>
                <c:pt idx="1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F-4D56-BAFD-90C9B46DB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214688"/>
        <c:axId val="1257547184"/>
      </c:lineChart>
      <c:catAx>
        <c:axId val="1302214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 in Reference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547184"/>
        <c:crosses val="autoZero"/>
        <c:auto val="1"/>
        <c:lblAlgn val="ctr"/>
        <c:lblOffset val="100"/>
        <c:noMultiLvlLbl val="0"/>
      </c:catAx>
      <c:valAx>
        <c:axId val="1257547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Users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21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Days Taken to Visit the Dashboard Post Refresh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'Viz 6'!$B$1</c:f>
              <c:strCache>
                <c:ptCount val="1"/>
                <c:pt idx="0">
                  <c:v> Day_Diff </c:v>
                </c:pt>
              </c:strCache>
            </c:strRef>
          </c:tx>
          <c:spPr>
            <a:solidFill>
              <a:srgbClr val="B9BE1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A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6C-451E-9AE0-F489020211AF}"/>
              </c:ext>
            </c:extLst>
          </c:dPt>
          <c:dPt>
            <c:idx val="1"/>
            <c:invertIfNegative val="0"/>
            <c:bubble3D val="0"/>
            <c:spPr>
              <a:solidFill>
                <a:srgbClr val="FEA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6C-451E-9AE0-F489020211AF}"/>
              </c:ext>
            </c:extLst>
          </c:dPt>
          <c:dPt>
            <c:idx val="2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6C-451E-9AE0-F489020211AF}"/>
              </c:ext>
            </c:extLst>
          </c:dPt>
          <c:dPt>
            <c:idx val="3"/>
            <c:invertIfNegative val="0"/>
            <c:bubble3D val="0"/>
            <c:spPr>
              <a:solidFill>
                <a:srgbClr val="FEA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56C-451E-9AE0-F489020211AF}"/>
              </c:ext>
            </c:extLst>
          </c:dPt>
          <c:dPt>
            <c:idx val="4"/>
            <c:invertIfNegative val="0"/>
            <c:bubble3D val="0"/>
            <c:spPr>
              <a:solidFill>
                <a:srgbClr val="FEA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6C-451E-9AE0-F489020211AF}"/>
              </c:ext>
            </c:extLst>
          </c:dPt>
          <c:dPt>
            <c:idx val="7"/>
            <c:invertIfNegative val="0"/>
            <c:bubble3D val="0"/>
            <c:spPr>
              <a:solidFill>
                <a:srgbClr val="FEA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56C-451E-9AE0-F489020211AF}"/>
              </c:ext>
            </c:extLst>
          </c:dPt>
          <c:dPt>
            <c:idx val="8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56C-451E-9AE0-F489020211AF}"/>
              </c:ext>
            </c:extLst>
          </c:dPt>
          <c:dPt>
            <c:idx val="9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56C-451E-9AE0-F489020211AF}"/>
              </c:ext>
            </c:extLst>
          </c:dPt>
          <c:dPt>
            <c:idx val="10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56C-451E-9AE0-F489020211AF}"/>
              </c:ext>
            </c:extLst>
          </c:dPt>
          <c:dPt>
            <c:idx val="12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FEA900"/>
              </a:solidFill>
              <a:ln>
                <a:noFill/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E92B2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'Viz 6'!$A$2:$A$18</c:f>
              <c:strCache>
                <c:ptCount val="17"/>
                <c:pt idx="0">
                  <c:v>AT</c:v>
                </c:pt>
                <c:pt idx="1">
                  <c:v>BE</c:v>
                </c:pt>
                <c:pt idx="2">
                  <c:v>CH</c:v>
                </c:pt>
                <c:pt idx="3">
                  <c:v>DE</c:v>
                </c:pt>
                <c:pt idx="4">
                  <c:v>DK</c:v>
                </c:pt>
                <c:pt idx="5">
                  <c:v>ES</c:v>
                </c:pt>
                <c:pt idx="6">
                  <c:v>FR</c:v>
                </c:pt>
                <c:pt idx="7">
                  <c:v>HK</c:v>
                </c:pt>
                <c:pt idx="8">
                  <c:v>IE</c:v>
                </c:pt>
                <c:pt idx="9">
                  <c:v>IT</c:v>
                </c:pt>
                <c:pt idx="10">
                  <c:v>KSA/UAE</c:v>
                </c:pt>
                <c:pt idx="11">
                  <c:v>NL</c:v>
                </c:pt>
                <c:pt idx="12">
                  <c:v>PT</c:v>
                </c:pt>
                <c:pt idx="13">
                  <c:v>RO</c:v>
                </c:pt>
                <c:pt idx="14">
                  <c:v>RU</c:v>
                </c:pt>
                <c:pt idx="15">
                  <c:v>SE</c:v>
                </c:pt>
                <c:pt idx="16">
                  <c:v>UK</c:v>
                </c:pt>
              </c:strCache>
            </c:strRef>
          </c:cat>
          <c:val>
            <c:numRef>
              <c:f>'Viz 6'!$B$2:$B$18</c:f>
              <c:numCache>
                <c:formatCode>_(* #,##0_);_(* \(#,##0\);_(* "-"??_);_(@_)</c:formatCode>
                <c:ptCount val="17"/>
                <c:pt idx="0">
                  <c:v>11.6666666666666</c:v>
                </c:pt>
                <c:pt idx="1">
                  <c:v>8.4</c:v>
                </c:pt>
                <c:pt idx="2">
                  <c:v>0</c:v>
                </c:pt>
                <c:pt idx="3">
                  <c:v>11.545454545454501</c:v>
                </c:pt>
                <c:pt idx="4">
                  <c:v>8.6666666666666607</c:v>
                </c:pt>
                <c:pt idx="5">
                  <c:v>12.4</c:v>
                </c:pt>
                <c:pt idx="6">
                  <c:v>15.2777777777777</c:v>
                </c:pt>
                <c:pt idx="7">
                  <c:v>9.3333333333333304</c:v>
                </c:pt>
                <c:pt idx="8">
                  <c:v>0</c:v>
                </c:pt>
                <c:pt idx="9">
                  <c:v>2.2000000000000002</c:v>
                </c:pt>
                <c:pt idx="10">
                  <c:v>7.6923076923076898</c:v>
                </c:pt>
                <c:pt idx="11">
                  <c:v>19.2222222222222</c:v>
                </c:pt>
                <c:pt idx="12">
                  <c:v>0</c:v>
                </c:pt>
                <c:pt idx="13">
                  <c:v>13</c:v>
                </c:pt>
                <c:pt idx="14">
                  <c:v>8.71428571428571</c:v>
                </c:pt>
                <c:pt idx="15">
                  <c:v>0</c:v>
                </c:pt>
                <c:pt idx="16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A-47B3-921E-A69D51654A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09648240"/>
        <c:axId val="1106479408"/>
      </c:barChart>
      <c:catAx>
        <c:axId val="110964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 as per Tagged Users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479408"/>
        <c:crosses val="autoZero"/>
        <c:auto val="1"/>
        <c:lblAlgn val="ctr"/>
        <c:lblOffset val="100"/>
        <c:noMultiLvlLbl val="0"/>
      </c:catAx>
      <c:valAx>
        <c:axId val="1106479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Days to Visit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64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[User Analytics visualizations Aug-Oct_Test.xlsm]Pivottable!PRIMEPivotTable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Pivottable!$B$1:$B$2</c:f>
              <c:strCache>
                <c:ptCount val="1"/>
                <c:pt idx="0">
                  <c:v>Jun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Pivottable!$B$3:$B$23</c:f>
              <c:numCache>
                <c:formatCode>General</c:formatCode>
                <c:ptCount val="20"/>
                <c:pt idx="0">
                  <c:v>50</c:v>
                </c:pt>
                <c:pt idx="1">
                  <c:v>73</c:v>
                </c:pt>
                <c:pt idx="2">
                  <c:v>76</c:v>
                </c:pt>
                <c:pt idx="3">
                  <c:v>16</c:v>
                </c:pt>
                <c:pt idx="4">
                  <c:v>81</c:v>
                </c:pt>
                <c:pt idx="5">
                  <c:v>77</c:v>
                </c:pt>
                <c:pt idx="6">
                  <c:v>136</c:v>
                </c:pt>
                <c:pt idx="7">
                  <c:v>40</c:v>
                </c:pt>
                <c:pt idx="8">
                  <c:v>36</c:v>
                </c:pt>
                <c:pt idx="9">
                  <c:v>35</c:v>
                </c:pt>
                <c:pt idx="10">
                  <c:v>54</c:v>
                </c:pt>
                <c:pt idx="11">
                  <c:v>35</c:v>
                </c:pt>
                <c:pt idx="12">
                  <c:v>57</c:v>
                </c:pt>
                <c:pt idx="13">
                  <c:v>90</c:v>
                </c:pt>
                <c:pt idx="14">
                  <c:v>111</c:v>
                </c:pt>
                <c:pt idx="15">
                  <c:v>41</c:v>
                </c:pt>
                <c:pt idx="16">
                  <c:v>60</c:v>
                </c:pt>
                <c:pt idx="17">
                  <c:v>50</c:v>
                </c:pt>
                <c:pt idx="18">
                  <c:v>30</c:v>
                </c:pt>
                <c:pt idx="1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8-4258-BC7F-291CC44EFD21}"/>
            </c:ext>
          </c:extLst>
        </c:ser>
        <c:ser>
          <c:idx val="1"/>
          <c:order val="1"/>
          <c:tx>
            <c:strRef>
              <c:f>Pivottable!$C$1:$C$2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Pivottable!$C$3:$C$23</c:f>
              <c:numCache>
                <c:formatCode>General</c:formatCode>
                <c:ptCount val="20"/>
                <c:pt idx="0">
                  <c:v>99</c:v>
                </c:pt>
                <c:pt idx="1">
                  <c:v>110</c:v>
                </c:pt>
                <c:pt idx="2">
                  <c:v>98</c:v>
                </c:pt>
                <c:pt idx="4">
                  <c:v>56</c:v>
                </c:pt>
                <c:pt idx="5">
                  <c:v>100</c:v>
                </c:pt>
                <c:pt idx="6">
                  <c:v>93</c:v>
                </c:pt>
                <c:pt idx="7">
                  <c:v>55</c:v>
                </c:pt>
                <c:pt idx="8">
                  <c:v>56</c:v>
                </c:pt>
                <c:pt idx="9">
                  <c:v>60</c:v>
                </c:pt>
                <c:pt idx="10">
                  <c:v>76</c:v>
                </c:pt>
                <c:pt idx="11">
                  <c:v>54</c:v>
                </c:pt>
                <c:pt idx="12">
                  <c:v>73</c:v>
                </c:pt>
                <c:pt idx="13">
                  <c:v>87</c:v>
                </c:pt>
                <c:pt idx="14">
                  <c:v>229</c:v>
                </c:pt>
                <c:pt idx="15">
                  <c:v>74</c:v>
                </c:pt>
                <c:pt idx="16">
                  <c:v>67</c:v>
                </c:pt>
                <c:pt idx="17">
                  <c:v>85</c:v>
                </c:pt>
                <c:pt idx="1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D28-4258-BC7F-291CC44EFD21}"/>
            </c:ext>
          </c:extLst>
        </c:ser>
        <c:ser>
          <c:idx val="2"/>
          <c:order val="2"/>
          <c:tx>
            <c:strRef>
              <c:f>Pivottable!$D$1:$D$2</c:f>
              <c:strCache>
                <c:ptCount val="1"/>
                <c:pt idx="0">
                  <c:v>Aug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Pivottable!$D$3:$D$23</c:f>
              <c:numCache>
                <c:formatCode>General</c:formatCode>
                <c:ptCount val="20"/>
                <c:pt idx="0">
                  <c:v>29</c:v>
                </c:pt>
                <c:pt idx="1">
                  <c:v>52</c:v>
                </c:pt>
                <c:pt idx="2">
                  <c:v>72</c:v>
                </c:pt>
                <c:pt idx="4">
                  <c:v>18</c:v>
                </c:pt>
                <c:pt idx="5">
                  <c:v>22</c:v>
                </c:pt>
                <c:pt idx="6">
                  <c:v>88</c:v>
                </c:pt>
                <c:pt idx="7">
                  <c:v>15</c:v>
                </c:pt>
                <c:pt idx="8">
                  <c:v>18</c:v>
                </c:pt>
                <c:pt idx="9">
                  <c:v>15</c:v>
                </c:pt>
                <c:pt idx="10">
                  <c:v>24</c:v>
                </c:pt>
                <c:pt idx="11">
                  <c:v>19</c:v>
                </c:pt>
                <c:pt idx="12">
                  <c:v>16</c:v>
                </c:pt>
                <c:pt idx="13">
                  <c:v>27</c:v>
                </c:pt>
                <c:pt idx="14">
                  <c:v>99</c:v>
                </c:pt>
                <c:pt idx="15">
                  <c:v>20</c:v>
                </c:pt>
                <c:pt idx="16">
                  <c:v>47</c:v>
                </c:pt>
                <c:pt idx="17">
                  <c:v>24</c:v>
                </c:pt>
                <c:pt idx="1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D28-4258-BC7F-291CC44EFD21}"/>
            </c:ext>
          </c:extLst>
        </c:ser>
        <c:ser>
          <c:idx val="3"/>
          <c:order val="3"/>
          <c:tx>
            <c:strRef>
              <c:f>Pivottable!$E$1:$E$2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Pivottable!$E$3:$E$23</c:f>
              <c:numCache>
                <c:formatCode>General</c:formatCode>
                <c:ptCount val="20"/>
                <c:pt idx="0">
                  <c:v>49</c:v>
                </c:pt>
                <c:pt idx="1">
                  <c:v>60</c:v>
                </c:pt>
                <c:pt idx="2">
                  <c:v>64</c:v>
                </c:pt>
                <c:pt idx="4">
                  <c:v>48</c:v>
                </c:pt>
                <c:pt idx="5">
                  <c:v>59</c:v>
                </c:pt>
                <c:pt idx="6">
                  <c:v>59</c:v>
                </c:pt>
                <c:pt idx="7">
                  <c:v>43</c:v>
                </c:pt>
                <c:pt idx="8">
                  <c:v>24</c:v>
                </c:pt>
                <c:pt idx="9">
                  <c:v>25</c:v>
                </c:pt>
                <c:pt idx="10">
                  <c:v>46</c:v>
                </c:pt>
                <c:pt idx="11">
                  <c:v>27</c:v>
                </c:pt>
                <c:pt idx="12">
                  <c:v>32</c:v>
                </c:pt>
                <c:pt idx="13">
                  <c:v>47</c:v>
                </c:pt>
                <c:pt idx="14">
                  <c:v>119</c:v>
                </c:pt>
                <c:pt idx="15">
                  <c:v>32</c:v>
                </c:pt>
                <c:pt idx="16">
                  <c:v>51</c:v>
                </c:pt>
                <c:pt idx="17">
                  <c:v>59</c:v>
                </c:pt>
                <c:pt idx="1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D28-4258-BC7F-291CC44EFD21}"/>
            </c:ext>
          </c:extLst>
        </c:ser>
        <c:ser>
          <c:idx val="4"/>
          <c:order val="4"/>
          <c:tx>
            <c:strRef>
              <c:f>Pivottable!$F$1:$F$2</c:f>
              <c:strCache>
                <c:ptCount val="1"/>
                <c:pt idx="0">
                  <c:v>Oct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Pivottable!$A$3:$A$23</c:f>
              <c:strCache>
                <c:ptCount val="20"/>
                <c:pt idx="0">
                  <c:v>Austria</c:v>
                </c:pt>
                <c:pt idx="1">
                  <c:v>Belgium</c:v>
                </c:pt>
                <c:pt idx="2">
                  <c:v>Denmark</c:v>
                </c:pt>
                <c:pt idx="3">
                  <c:v>Finance</c:v>
                </c:pt>
                <c:pt idx="4">
                  <c:v>France</c:v>
                </c:pt>
                <c:pt idx="5">
                  <c:v>Germany</c:v>
                </c:pt>
                <c:pt idx="6">
                  <c:v>Global</c:v>
                </c:pt>
                <c:pt idx="7">
                  <c:v>Hong Kong</c:v>
                </c:pt>
                <c:pt idx="8">
                  <c:v>Ireland</c:v>
                </c:pt>
                <c:pt idx="9">
                  <c:v>Italy</c:v>
                </c:pt>
                <c:pt idx="10">
                  <c:v>Netherland</c:v>
                </c:pt>
                <c:pt idx="11">
                  <c:v>Portugal</c:v>
                </c:pt>
                <c:pt idx="12">
                  <c:v>Romania</c:v>
                </c:pt>
                <c:pt idx="13">
                  <c:v>Russia</c:v>
                </c:pt>
                <c:pt idx="14">
                  <c:v>Saudi Arabia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</c:v>
                </c:pt>
              </c:strCache>
            </c:strRef>
          </c:cat>
          <c:val>
            <c:numRef>
              <c:f>Pivottable!$F$3:$F$23</c:f>
              <c:numCache>
                <c:formatCode>General</c:formatCode>
                <c:ptCount val="20"/>
                <c:pt idx="0">
                  <c:v>34</c:v>
                </c:pt>
                <c:pt idx="1">
                  <c:v>11</c:v>
                </c:pt>
                <c:pt idx="2">
                  <c:v>11</c:v>
                </c:pt>
                <c:pt idx="4">
                  <c:v>19</c:v>
                </c:pt>
                <c:pt idx="5">
                  <c:v>34</c:v>
                </c:pt>
                <c:pt idx="6">
                  <c:v>16</c:v>
                </c:pt>
                <c:pt idx="7">
                  <c:v>12</c:v>
                </c:pt>
                <c:pt idx="8">
                  <c:v>10</c:v>
                </c:pt>
                <c:pt idx="9">
                  <c:v>10</c:v>
                </c:pt>
                <c:pt idx="10">
                  <c:v>17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26</c:v>
                </c:pt>
                <c:pt idx="15">
                  <c:v>10</c:v>
                </c:pt>
                <c:pt idx="16">
                  <c:v>11</c:v>
                </c:pt>
                <c:pt idx="17">
                  <c:v>38</c:v>
                </c:pt>
                <c:pt idx="1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D28-4258-BC7F-291CC44EF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9608319"/>
        <c:axId val="1284733983"/>
      </c:lineChart>
      <c:catAx>
        <c:axId val="1219608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733983"/>
        <c:crosses val="autoZero"/>
        <c:auto val="1"/>
        <c:lblAlgn val="ctr"/>
        <c:lblOffset val="100"/>
        <c:noMultiLvlLbl val="0"/>
      </c:catAx>
      <c:valAx>
        <c:axId val="128473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08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[User Analytics visualizations Aug-Oct_Test.xlsm]Viz 2!PivotTable4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'Viz 2'!$H$1:$H$2</c:f>
              <c:strCache>
                <c:ptCount val="1"/>
                <c:pt idx="0">
                  <c:v>KIND 360 - Global View_vf - Updated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'Viz 2'!$F$3:$G$19</c:f>
              <c:multiLvlStrCache>
                <c:ptCount val="1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</c:lvl>
                <c:lvl>
                  <c:pt idx="0">
                    <c:v>Jun</c:v>
                  </c:pt>
                  <c:pt idx="4">
                    <c:v>Jul</c:v>
                  </c:pt>
                  <c:pt idx="8">
                    <c:v>Aug</c:v>
                  </c:pt>
                  <c:pt idx="12">
                    <c:v>Sep</c:v>
                  </c:pt>
                  <c:pt idx="16">
                    <c:v>Oct</c:v>
                  </c:pt>
                </c:lvl>
              </c:multiLvlStrCache>
            </c:multiLvlStrRef>
          </c:cat>
          <c:val>
            <c:numRef>
              <c:f>'Viz 2'!$H$3:$H$19</c:f>
              <c:numCache>
                <c:formatCode>General</c:formatCode>
                <c:ptCount val="17"/>
                <c:pt idx="0">
                  <c:v>90</c:v>
                </c:pt>
                <c:pt idx="1">
                  <c:v>103</c:v>
                </c:pt>
                <c:pt idx="2">
                  <c:v>170</c:v>
                </c:pt>
                <c:pt idx="3">
                  <c:v>293</c:v>
                </c:pt>
                <c:pt idx="4">
                  <c:v>77</c:v>
                </c:pt>
                <c:pt idx="5">
                  <c:v>84</c:v>
                </c:pt>
                <c:pt idx="6">
                  <c:v>224</c:v>
                </c:pt>
                <c:pt idx="7">
                  <c:v>188</c:v>
                </c:pt>
                <c:pt idx="8">
                  <c:v>20</c:v>
                </c:pt>
                <c:pt idx="9">
                  <c:v>131</c:v>
                </c:pt>
                <c:pt idx="10">
                  <c:v>32</c:v>
                </c:pt>
                <c:pt idx="11">
                  <c:v>86</c:v>
                </c:pt>
                <c:pt idx="12">
                  <c:v>104</c:v>
                </c:pt>
                <c:pt idx="13">
                  <c:v>36</c:v>
                </c:pt>
                <c:pt idx="14">
                  <c:v>58</c:v>
                </c:pt>
                <c:pt idx="15">
                  <c:v>154</c:v>
                </c:pt>
                <c:pt idx="16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2-4F42-8177-BED17FF29856}"/>
            </c:ext>
          </c:extLst>
        </c:ser>
        <c:ser>
          <c:idx val="1"/>
          <c:order val="1"/>
          <c:tx>
            <c:strRef>
              <c:f>'Viz 2'!$I$1:$I$2</c:f>
              <c:strCache>
                <c:ptCount val="1"/>
                <c:pt idx="0">
                  <c:v>KIND 360 - Market View_vf - Updated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'Viz 2'!$F$3:$G$19</c:f>
              <c:multiLvlStrCache>
                <c:ptCount val="1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</c:lvl>
                <c:lvl>
                  <c:pt idx="0">
                    <c:v>Jun</c:v>
                  </c:pt>
                  <c:pt idx="4">
                    <c:v>Jul</c:v>
                  </c:pt>
                  <c:pt idx="8">
                    <c:v>Aug</c:v>
                  </c:pt>
                  <c:pt idx="12">
                    <c:v>Sep</c:v>
                  </c:pt>
                  <c:pt idx="16">
                    <c:v>Oct</c:v>
                  </c:pt>
                </c:lvl>
              </c:multiLvlStrCache>
            </c:multiLvlStrRef>
          </c:cat>
          <c:val>
            <c:numRef>
              <c:f>'Viz 2'!$I$3:$I$19</c:f>
              <c:numCache>
                <c:formatCode>General</c:formatCode>
                <c:ptCount val="17"/>
                <c:pt idx="0">
                  <c:v>91</c:v>
                </c:pt>
                <c:pt idx="1">
                  <c:v>85</c:v>
                </c:pt>
                <c:pt idx="2">
                  <c:v>154</c:v>
                </c:pt>
                <c:pt idx="3">
                  <c:v>164</c:v>
                </c:pt>
                <c:pt idx="4">
                  <c:v>126</c:v>
                </c:pt>
                <c:pt idx="5">
                  <c:v>62</c:v>
                </c:pt>
                <c:pt idx="6">
                  <c:v>393</c:v>
                </c:pt>
                <c:pt idx="7">
                  <c:v>332</c:v>
                </c:pt>
                <c:pt idx="8">
                  <c:v>39</c:v>
                </c:pt>
                <c:pt idx="9">
                  <c:v>116</c:v>
                </c:pt>
                <c:pt idx="10">
                  <c:v>46</c:v>
                </c:pt>
                <c:pt idx="11">
                  <c:v>153</c:v>
                </c:pt>
                <c:pt idx="12">
                  <c:v>93</c:v>
                </c:pt>
                <c:pt idx="13">
                  <c:v>78</c:v>
                </c:pt>
                <c:pt idx="14">
                  <c:v>109</c:v>
                </c:pt>
                <c:pt idx="15">
                  <c:v>228</c:v>
                </c:pt>
                <c:pt idx="16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C2-4F42-8177-BED17FF29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261120"/>
        <c:axId val="1119894112"/>
      </c:lineChart>
      <c:catAx>
        <c:axId val="125626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894112"/>
        <c:crosses val="autoZero"/>
        <c:auto val="1"/>
        <c:lblAlgn val="ctr"/>
        <c:lblOffset val="100"/>
        <c:noMultiLvlLbl val="0"/>
      </c:catAx>
      <c:valAx>
        <c:axId val="111989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26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3629025</xdr:colOff>
      <xdr:row>4</xdr:row>
      <xdr:rowOff>73025</xdr:rowOff>
    </xdr:from>
    <xdr:to>
      <xdr:col>7</xdr:col>
      <xdr:colOff>542925</xdr:colOff>
      <xdr:row>19</xdr:row>
      <xdr:rowOff>53975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3C29547-71FE-4EEE-B989-633C23450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960438</xdr:colOff>
      <xdr:row>4</xdr:row>
      <xdr:rowOff>177801</xdr:rowOff>
    </xdr:from>
    <xdr:to>
      <xdr:col>15</xdr:col>
      <xdr:colOff>261938</xdr:colOff>
      <xdr:row>18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5E5FD9-0FDB-4B19-AE33-0D44AC960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339725</xdr:colOff>
      <xdr:row>4</xdr:row>
      <xdr:rowOff>44450</xdr:rowOff>
    </xdr:from>
    <xdr:to>
      <xdr:col>13</xdr:col>
      <xdr:colOff>34925</xdr:colOff>
      <xdr:row>19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A446B9-5348-4570-A9AA-EB694F4B4D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73</xdr:row>
      <xdr:rowOff>50800</xdr:rowOff>
    </xdr:from>
    <xdr:to>
      <xdr:col>8</xdr:col>
      <xdr:colOff>177800</xdr:colOff>
      <xdr:row>91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B9DE8A-9DE3-4546-8671-9590CE16D3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547687</xdr:colOff>
      <xdr:row>7</xdr:row>
      <xdr:rowOff>61118</xdr:rowOff>
    </xdr:from>
    <xdr:to>
      <xdr:col>8</xdr:col>
      <xdr:colOff>698500</xdr:colOff>
      <xdr:row>22</xdr:row>
      <xdr:rowOff>65881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B84FCB-4E16-4303-B54C-62356723A2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dhanshu Aggarwal" refreshedDate="44110.854504282404" createdVersion="6" refreshedVersion="6" minRefreshableVersion="3" recordCount="34" xr:uid="{509C95D9-8B5B-433E-AAC0-3C34B94BED9C}">
  <cacheSource type="worksheet">
    <worksheetSource ref="A1:D35" sheet="Viz 2"/>
  </cacheSource>
  <cacheFields count="4">
    <cacheField name="Dashboard" numFmtId="0">
      <sharedItems count="2">
        <s v="KIND 360 - Market View_vf - Updated"/>
        <s v="KIND 360 - Global View_vf - Updated"/>
      </sharedItems>
    </cacheField>
    <cacheField name="Month_Logged" numFmtId="0">
      <sharedItems count="5">
        <s v="Aug"/>
        <s v="Sep"/>
        <s v="Jul"/>
        <s v="Jun"/>
        <s v="Oct"/>
      </sharedItems>
    </cacheField>
    <cacheField name="Week_Number" numFmtId="0">
      <sharedItems containsSemiMixedTypes="0" containsString="0" containsNumber="1" containsInteger="1" minValue="1" maxValue="4" count="4">
        <n v="2"/>
        <n v="4"/>
        <n v="1"/>
        <n v="3"/>
      </sharedItems>
    </cacheField>
    <cacheField name="Visits" numFmtId="0">
      <sharedItems containsSemiMixedTypes="0" containsString="0" containsNumber="1" containsInteger="1" minValue="20" maxValue="3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dhanshu Aggarwal" refreshedDate="44111.857651388891" createdVersion="3" refreshedVersion="6" minRefreshableVersion="3" recordCount="92" xr:uid="{E5348706-67B1-432C-A708-A3CA0E0B91EF}">
  <cacheSource type="worksheet">
    <worksheetSource ref="A1:C93" sheet="Viz 1"/>
  </cacheSource>
  <cacheFields count="3">
    <cacheField name="Team" numFmtId="0">
      <sharedItems count="20">
        <s v="Portugal"/>
        <s v="Romania"/>
        <s v="Ireland"/>
        <s v="Sweden"/>
        <s v="France"/>
        <s v="Switzerland"/>
        <s v="Austria"/>
        <s v="Belgium"/>
        <s v="UK"/>
        <s v="Italy"/>
        <s v="Global"/>
        <s v="Hong Kong"/>
        <s v="Russia"/>
        <s v="Germany"/>
        <s v="Saudi Arabia"/>
        <s v="Finance"/>
        <s v="Denmark"/>
        <s v="Spain"/>
        <s v="Netherland"/>
        <s v="US"/>
      </sharedItems>
    </cacheField>
    <cacheField name="Month_Logged" numFmtId="0">
      <sharedItems count="5">
        <s v="Jul"/>
        <s v="Jun"/>
        <s v="Oct"/>
        <s v="Sep"/>
        <s v="Aug"/>
      </sharedItems>
    </cacheField>
    <cacheField name="Visits" numFmtId="0">
      <sharedItems containsSemiMixedTypes="0" containsString="0" containsNumber="1" containsInteger="1" minValue="2" maxValue="229" count="60">
        <n v="54"/>
        <n v="73"/>
        <n v="36"/>
        <n v="10"/>
        <n v="67"/>
        <n v="56"/>
        <n v="85"/>
        <n v="32"/>
        <n v="29"/>
        <n v="18"/>
        <n v="11"/>
        <n v="51"/>
        <n v="2"/>
        <n v="99"/>
        <n v="35"/>
        <n v="16"/>
        <n v="55"/>
        <n v="19"/>
        <n v="34"/>
        <n v="15"/>
        <n v="47"/>
        <n v="90"/>
        <n v="77"/>
        <n v="81"/>
        <n v="119"/>
        <n v="27"/>
        <n v="60"/>
        <n v="72"/>
        <n v="41"/>
        <n v="74"/>
        <n v="52"/>
        <n v="64"/>
        <n v="100"/>
        <n v="25"/>
        <n v="49"/>
        <n v="110"/>
        <n v="59"/>
        <n v="111"/>
        <n v="50"/>
        <n v="229"/>
        <n v="76"/>
        <n v="57"/>
        <n v="38"/>
        <n v="48"/>
        <n v="93"/>
        <n v="12"/>
        <n v="14"/>
        <n v="136"/>
        <n v="24"/>
        <n v="20"/>
        <n v="46"/>
        <n v="40"/>
        <n v="87"/>
        <n v="98"/>
        <n v="26"/>
        <n v="88"/>
        <n v="30"/>
        <n v="17"/>
        <n v="22"/>
        <n v="4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x v="0"/>
    <n v="116"/>
  </r>
  <r>
    <x v="0"/>
    <x v="1"/>
    <x v="0"/>
    <n v="78"/>
  </r>
  <r>
    <x v="0"/>
    <x v="2"/>
    <x v="0"/>
    <n v="62"/>
  </r>
  <r>
    <x v="0"/>
    <x v="3"/>
    <x v="1"/>
    <n v="164"/>
  </r>
  <r>
    <x v="0"/>
    <x v="1"/>
    <x v="2"/>
    <n v="93"/>
  </r>
  <r>
    <x v="1"/>
    <x v="1"/>
    <x v="0"/>
    <n v="36"/>
  </r>
  <r>
    <x v="0"/>
    <x v="3"/>
    <x v="3"/>
    <n v="154"/>
  </r>
  <r>
    <x v="1"/>
    <x v="2"/>
    <x v="3"/>
    <n v="224"/>
  </r>
  <r>
    <x v="0"/>
    <x v="0"/>
    <x v="2"/>
    <n v="39"/>
  </r>
  <r>
    <x v="0"/>
    <x v="3"/>
    <x v="2"/>
    <n v="91"/>
  </r>
  <r>
    <x v="1"/>
    <x v="0"/>
    <x v="2"/>
    <n v="20"/>
  </r>
  <r>
    <x v="1"/>
    <x v="3"/>
    <x v="3"/>
    <n v="170"/>
  </r>
  <r>
    <x v="1"/>
    <x v="0"/>
    <x v="1"/>
    <n v="86"/>
  </r>
  <r>
    <x v="1"/>
    <x v="1"/>
    <x v="2"/>
    <n v="104"/>
  </r>
  <r>
    <x v="1"/>
    <x v="2"/>
    <x v="2"/>
    <n v="77"/>
  </r>
  <r>
    <x v="0"/>
    <x v="0"/>
    <x v="1"/>
    <n v="153"/>
  </r>
  <r>
    <x v="0"/>
    <x v="2"/>
    <x v="3"/>
    <n v="393"/>
  </r>
  <r>
    <x v="0"/>
    <x v="1"/>
    <x v="1"/>
    <n v="228"/>
  </r>
  <r>
    <x v="0"/>
    <x v="3"/>
    <x v="0"/>
    <n v="85"/>
  </r>
  <r>
    <x v="1"/>
    <x v="0"/>
    <x v="0"/>
    <n v="131"/>
  </r>
  <r>
    <x v="0"/>
    <x v="0"/>
    <x v="3"/>
    <n v="46"/>
  </r>
  <r>
    <x v="1"/>
    <x v="0"/>
    <x v="3"/>
    <n v="32"/>
  </r>
  <r>
    <x v="1"/>
    <x v="3"/>
    <x v="1"/>
    <n v="293"/>
  </r>
  <r>
    <x v="1"/>
    <x v="3"/>
    <x v="0"/>
    <n v="103"/>
  </r>
  <r>
    <x v="0"/>
    <x v="2"/>
    <x v="1"/>
    <n v="332"/>
  </r>
  <r>
    <x v="1"/>
    <x v="2"/>
    <x v="0"/>
    <n v="84"/>
  </r>
  <r>
    <x v="0"/>
    <x v="1"/>
    <x v="3"/>
    <n v="109"/>
  </r>
  <r>
    <x v="1"/>
    <x v="1"/>
    <x v="1"/>
    <n v="154"/>
  </r>
  <r>
    <x v="1"/>
    <x v="2"/>
    <x v="1"/>
    <n v="188"/>
  </r>
  <r>
    <x v="1"/>
    <x v="3"/>
    <x v="2"/>
    <n v="90"/>
  </r>
  <r>
    <x v="0"/>
    <x v="4"/>
    <x v="2"/>
    <n v="160"/>
  </r>
  <r>
    <x v="1"/>
    <x v="4"/>
    <x v="2"/>
    <n v="131"/>
  </r>
  <r>
    <x v="0"/>
    <x v="2"/>
    <x v="2"/>
    <n v="126"/>
  </r>
  <r>
    <x v="1"/>
    <x v="1"/>
    <x v="3"/>
    <n v="5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x v="0"/>
    <x v="0"/>
    <x v="0"/>
  </r>
  <r>
    <x v="1"/>
    <x v="0"/>
    <x v="1"/>
  </r>
  <r>
    <x v="2"/>
    <x v="1"/>
    <x v="2"/>
  </r>
  <r>
    <x v="1"/>
    <x v="2"/>
    <x v="3"/>
  </r>
  <r>
    <x v="3"/>
    <x v="0"/>
    <x v="4"/>
  </r>
  <r>
    <x v="4"/>
    <x v="0"/>
    <x v="5"/>
  </r>
  <r>
    <x v="5"/>
    <x v="0"/>
    <x v="6"/>
  </r>
  <r>
    <x v="1"/>
    <x v="3"/>
    <x v="7"/>
  </r>
  <r>
    <x v="6"/>
    <x v="4"/>
    <x v="8"/>
  </r>
  <r>
    <x v="2"/>
    <x v="4"/>
    <x v="9"/>
  </r>
  <r>
    <x v="7"/>
    <x v="2"/>
    <x v="10"/>
  </r>
  <r>
    <x v="3"/>
    <x v="3"/>
    <x v="11"/>
  </r>
  <r>
    <x v="8"/>
    <x v="2"/>
    <x v="12"/>
  </r>
  <r>
    <x v="6"/>
    <x v="0"/>
    <x v="13"/>
  </r>
  <r>
    <x v="9"/>
    <x v="1"/>
    <x v="14"/>
  </r>
  <r>
    <x v="10"/>
    <x v="2"/>
    <x v="15"/>
  </r>
  <r>
    <x v="11"/>
    <x v="0"/>
    <x v="16"/>
  </r>
  <r>
    <x v="4"/>
    <x v="2"/>
    <x v="17"/>
  </r>
  <r>
    <x v="6"/>
    <x v="2"/>
    <x v="18"/>
  </r>
  <r>
    <x v="11"/>
    <x v="4"/>
    <x v="19"/>
  </r>
  <r>
    <x v="3"/>
    <x v="4"/>
    <x v="20"/>
  </r>
  <r>
    <x v="12"/>
    <x v="1"/>
    <x v="21"/>
  </r>
  <r>
    <x v="13"/>
    <x v="1"/>
    <x v="22"/>
  </r>
  <r>
    <x v="4"/>
    <x v="1"/>
    <x v="23"/>
  </r>
  <r>
    <x v="14"/>
    <x v="3"/>
    <x v="24"/>
  </r>
  <r>
    <x v="0"/>
    <x v="3"/>
    <x v="25"/>
  </r>
  <r>
    <x v="15"/>
    <x v="1"/>
    <x v="15"/>
  </r>
  <r>
    <x v="9"/>
    <x v="0"/>
    <x v="26"/>
  </r>
  <r>
    <x v="7"/>
    <x v="1"/>
    <x v="1"/>
  </r>
  <r>
    <x v="16"/>
    <x v="4"/>
    <x v="27"/>
  </r>
  <r>
    <x v="17"/>
    <x v="1"/>
    <x v="28"/>
  </r>
  <r>
    <x v="17"/>
    <x v="0"/>
    <x v="29"/>
  </r>
  <r>
    <x v="8"/>
    <x v="4"/>
    <x v="9"/>
  </r>
  <r>
    <x v="7"/>
    <x v="4"/>
    <x v="30"/>
  </r>
  <r>
    <x v="16"/>
    <x v="3"/>
    <x v="31"/>
  </r>
  <r>
    <x v="12"/>
    <x v="2"/>
    <x v="3"/>
  </r>
  <r>
    <x v="13"/>
    <x v="0"/>
    <x v="32"/>
  </r>
  <r>
    <x v="9"/>
    <x v="3"/>
    <x v="33"/>
  </r>
  <r>
    <x v="18"/>
    <x v="1"/>
    <x v="0"/>
  </r>
  <r>
    <x v="3"/>
    <x v="1"/>
    <x v="26"/>
  </r>
  <r>
    <x v="6"/>
    <x v="3"/>
    <x v="34"/>
  </r>
  <r>
    <x v="19"/>
    <x v="1"/>
    <x v="12"/>
  </r>
  <r>
    <x v="3"/>
    <x v="2"/>
    <x v="10"/>
  </r>
  <r>
    <x v="7"/>
    <x v="0"/>
    <x v="35"/>
  </r>
  <r>
    <x v="10"/>
    <x v="3"/>
    <x v="36"/>
  </r>
  <r>
    <x v="1"/>
    <x v="4"/>
    <x v="15"/>
  </r>
  <r>
    <x v="4"/>
    <x v="4"/>
    <x v="9"/>
  </r>
  <r>
    <x v="2"/>
    <x v="2"/>
    <x v="3"/>
  </r>
  <r>
    <x v="14"/>
    <x v="1"/>
    <x v="37"/>
  </r>
  <r>
    <x v="5"/>
    <x v="1"/>
    <x v="38"/>
  </r>
  <r>
    <x v="6"/>
    <x v="1"/>
    <x v="38"/>
  </r>
  <r>
    <x v="14"/>
    <x v="4"/>
    <x v="13"/>
  </r>
  <r>
    <x v="14"/>
    <x v="0"/>
    <x v="39"/>
  </r>
  <r>
    <x v="5"/>
    <x v="3"/>
    <x v="36"/>
  </r>
  <r>
    <x v="18"/>
    <x v="0"/>
    <x v="40"/>
  </r>
  <r>
    <x v="13"/>
    <x v="2"/>
    <x v="18"/>
  </r>
  <r>
    <x v="1"/>
    <x v="1"/>
    <x v="41"/>
  </r>
  <r>
    <x v="17"/>
    <x v="3"/>
    <x v="7"/>
  </r>
  <r>
    <x v="5"/>
    <x v="2"/>
    <x v="42"/>
  </r>
  <r>
    <x v="4"/>
    <x v="3"/>
    <x v="43"/>
  </r>
  <r>
    <x v="17"/>
    <x v="2"/>
    <x v="3"/>
  </r>
  <r>
    <x v="10"/>
    <x v="0"/>
    <x v="44"/>
  </r>
  <r>
    <x v="9"/>
    <x v="2"/>
    <x v="3"/>
  </r>
  <r>
    <x v="7"/>
    <x v="3"/>
    <x v="26"/>
  </r>
  <r>
    <x v="11"/>
    <x v="2"/>
    <x v="45"/>
  </r>
  <r>
    <x v="8"/>
    <x v="0"/>
    <x v="46"/>
  </r>
  <r>
    <x v="12"/>
    <x v="4"/>
    <x v="25"/>
  </r>
  <r>
    <x v="10"/>
    <x v="1"/>
    <x v="47"/>
  </r>
  <r>
    <x v="0"/>
    <x v="4"/>
    <x v="17"/>
  </r>
  <r>
    <x v="0"/>
    <x v="2"/>
    <x v="3"/>
  </r>
  <r>
    <x v="5"/>
    <x v="4"/>
    <x v="48"/>
  </r>
  <r>
    <x v="2"/>
    <x v="3"/>
    <x v="48"/>
  </r>
  <r>
    <x v="17"/>
    <x v="4"/>
    <x v="49"/>
  </r>
  <r>
    <x v="18"/>
    <x v="3"/>
    <x v="50"/>
  </r>
  <r>
    <x v="2"/>
    <x v="0"/>
    <x v="5"/>
  </r>
  <r>
    <x v="11"/>
    <x v="1"/>
    <x v="51"/>
  </r>
  <r>
    <x v="12"/>
    <x v="0"/>
    <x v="52"/>
  </r>
  <r>
    <x v="8"/>
    <x v="3"/>
    <x v="15"/>
  </r>
  <r>
    <x v="13"/>
    <x v="3"/>
    <x v="36"/>
  </r>
  <r>
    <x v="12"/>
    <x v="3"/>
    <x v="20"/>
  </r>
  <r>
    <x v="9"/>
    <x v="4"/>
    <x v="19"/>
  </r>
  <r>
    <x v="16"/>
    <x v="2"/>
    <x v="10"/>
  </r>
  <r>
    <x v="18"/>
    <x v="4"/>
    <x v="48"/>
  </r>
  <r>
    <x v="16"/>
    <x v="0"/>
    <x v="53"/>
  </r>
  <r>
    <x v="14"/>
    <x v="2"/>
    <x v="54"/>
  </r>
  <r>
    <x v="0"/>
    <x v="1"/>
    <x v="14"/>
  </r>
  <r>
    <x v="10"/>
    <x v="4"/>
    <x v="55"/>
  </r>
  <r>
    <x v="8"/>
    <x v="1"/>
    <x v="56"/>
  </r>
  <r>
    <x v="18"/>
    <x v="2"/>
    <x v="57"/>
  </r>
  <r>
    <x v="16"/>
    <x v="1"/>
    <x v="40"/>
  </r>
  <r>
    <x v="13"/>
    <x v="4"/>
    <x v="58"/>
  </r>
  <r>
    <x v="11"/>
    <x v="3"/>
    <x v="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178B95-683B-4E1A-9290-FB30D333D021}" name="PRIMEPivotTable" cacheId="5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 chartFormat="4">
  <location ref="A1:G23" firstHeaderRow="1" firstDataRow="2" firstDataCol="1"/>
  <pivotFields count="3">
    <pivotField axis="axisRow" compact="0" outline="0" showAll="0" defaultSubtotal="0">
      <items count="20">
        <item x="6"/>
        <item x="7"/>
        <item x="16"/>
        <item x="15"/>
        <item x="4"/>
        <item x="13"/>
        <item x="10"/>
        <item x="11"/>
        <item x="2"/>
        <item x="9"/>
        <item x="18"/>
        <item x="0"/>
        <item x="1"/>
        <item x="12"/>
        <item x="14"/>
        <item x="17"/>
        <item x="3"/>
        <item x="5"/>
        <item x="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1"/>
        <item x="0"/>
        <item x="4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0">
        <item x="12"/>
        <item x="3"/>
        <item x="10"/>
        <item x="45"/>
        <item x="46"/>
        <item x="19"/>
        <item x="15"/>
        <item x="57"/>
        <item x="9"/>
        <item x="17"/>
        <item x="49"/>
        <item x="58"/>
        <item x="48"/>
        <item x="33"/>
        <item x="54"/>
        <item x="25"/>
        <item x="8"/>
        <item x="56"/>
        <item x="7"/>
        <item x="18"/>
        <item x="14"/>
        <item x="2"/>
        <item x="42"/>
        <item x="51"/>
        <item x="28"/>
        <item x="59"/>
        <item x="50"/>
        <item x="20"/>
        <item x="43"/>
        <item x="34"/>
        <item x="38"/>
        <item x="11"/>
        <item x="30"/>
        <item x="0"/>
        <item x="16"/>
        <item x="5"/>
        <item x="41"/>
        <item x="36"/>
        <item x="26"/>
        <item x="31"/>
        <item x="4"/>
        <item x="27"/>
        <item x="1"/>
        <item x="29"/>
        <item x="40"/>
        <item x="22"/>
        <item x="23"/>
        <item x="6"/>
        <item x="52"/>
        <item x="55"/>
        <item x="21"/>
        <item x="44"/>
        <item x="53"/>
        <item x="13"/>
        <item x="32"/>
        <item x="35"/>
        <item x="37"/>
        <item x="24"/>
        <item x="47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isits" fld="2" baseField="0" baseItem="0"/>
  </dataFields>
  <chartFormats count="2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0C38E1-ADDE-4D6F-BF52-7402386B1DC5}" name="PivotTable4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F1:I19" firstHeaderRow="1" firstDataRow="2" firstDataCol="2"/>
  <pivotFields count="4"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2"/>
        <item x="0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2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7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</rowItems>
  <colFields count="1">
    <field x="0"/>
  </colFields>
  <colItems count="2">
    <i>
      <x/>
    </i>
    <i>
      <x v="1"/>
    </i>
  </colItems>
  <dataFields count="1">
    <dataField name="Sum of Visits" fld="3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BD50D57-89AE-4ADC-91EB-CF23BFFA0BB9}" name="UserTable" displayName="UserTable" ref="A1:B21" totalsRowShown="0">
  <autoFilter ref="A1:B21" xr:uid="{FB8E147D-8A03-4A5F-A41A-3F666809A597}"/>
  <sortState xmlns:xlrd2="http://schemas.microsoft.com/office/spreadsheetml/2017/richdata2" ref="A2:B21">
    <sortCondition ref="B1:B21"/>
  </sortState>
  <tableColumns count="2">
    <tableColumn id="1" xr3:uid="{454A9DC3-890D-4A3A-B8D1-AE7367A30896}" name="User_concat"/>
    <tableColumn id="2" xr3:uid="{4D174A7F-3BD0-4A48-9C50-39CB2C866939}" name="Vis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927E9E-4560-4DA1-8B7C-F52D46B89575}" name="TargetActiveTable" displayName="TargetActiveTable" ref="A1:C18" totalsRowShown="0">
  <autoFilter ref="A1:C18" xr:uid="{AE7A20A4-F8AA-4209-BE23-EA5345560E04}"/>
  <tableColumns count="3">
    <tableColumn id="1" xr3:uid="{FC0D7776-1C24-4024-B36F-E10FFBF56DE7}" name="Market"/>
    <tableColumn id="2" xr3:uid="{0B971797-656A-4A4A-BB17-7C97643D4498}" name="Visitors"/>
    <tableColumn id="3" xr3:uid="{9D69A7CC-A2B0-453B-9AE5-F434A992B52F}" name="Targeted Us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D590A5-A276-45E5-A1A6-E8AE7C029D6F}" name="VisitTable" displayName="VisitTable" ref="A1:B18" totalsRowShown="0">
  <autoFilter ref="A1:B18" xr:uid="{E7B0EA1A-E75C-44BF-89D4-615246DBD099}"/>
  <sortState xmlns:xlrd2="http://schemas.microsoft.com/office/spreadsheetml/2017/richdata2" ref="A2:B18">
    <sortCondition ref="A1"/>
  </sortState>
  <tableColumns count="2">
    <tableColumn id="1" xr3:uid="{E496222C-D31E-4618-A54F-DAEC83BF93DD}" name="Market"/>
    <tableColumn id="2" xr3:uid="{5351B676-1480-406C-8A10-00B065E79312}" name="Day_Diff" dataDxfId="8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90BC2D-B4FC-43C5-8952-8805078C12E6}" name="MonthlyVisitsTable" displayName="MonthlyVisitsTable" ref="A1:C93" totalsRowShown="0" headerRowDxfId="7" dataDxfId="5" headerRowBorderDxfId="6" tableBorderDxfId="4" totalsRowBorderDxfId="3">
  <autoFilter ref="A1:C93" xr:uid="{B556EC18-1737-47DD-9DC8-A52406BF651E}"/>
  <tableColumns count="3">
    <tableColumn id="1" xr3:uid="{FAA46728-A0EE-4305-957A-2D7531F82F07}" name="Team" dataDxfId="2"/>
    <tableColumn id="2" xr3:uid="{686FC00B-1723-4065-A9C9-6ABD70AC75DD}" name="Month_Logged" dataDxfId="1"/>
    <tableColumn id="3" xr3:uid="{113ABC5B-22E0-42E7-9CB3-E00F487EF4AC}" name="Visi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C5CF-BD9E-4986-92CB-1F4B608B23FA}">
  <sheetPr codeName="Sheet4"/>
  <dimension ref="A1:S21"/>
  <sheetViews>
    <sheetView tabSelected="1" zoomScale="70" zoomScaleNormal="70" workbookViewId="0"/>
  </sheetViews>
  <sheetFormatPr defaultRowHeight="14.5" x14ac:dyDescent="0.35"/>
  <cols>
    <col min="1" max="1" width="52.453125" bestFit="1" customWidth="1"/>
    <col min="5" max="5" width="13.54296875" customWidth="1"/>
  </cols>
  <sheetData>
    <row r="1" spans="1:19" x14ac:dyDescent="0.35">
      <c r="A1" t="s">
        <v>50</v>
      </c>
      <c r="B1" t="s">
        <v>2</v>
      </c>
      <c r="E1">
        <f>COUNTA(A:A)-1</f>
        <v>20</v>
      </c>
      <c r="F1">
        <f>ROUND(E1/3,0)</f>
        <v>7</v>
      </c>
      <c r="G1">
        <f>F1*2</f>
        <v>14</v>
      </c>
      <c r="O1" t="s">
        <v>77</v>
      </c>
      <c r="S1" t="s">
        <v>76</v>
      </c>
    </row>
    <row r="2" spans="1:19" x14ac:dyDescent="0.35">
      <c r="A2" t="s">
        <v>70</v>
      </c>
      <c r="B2">
        <v>29</v>
      </c>
      <c r="F2" cm="1">
        <f t="array" ref="F2">INDEX(B:B,F1+1)</f>
        <v>44</v>
      </c>
      <c r="G2" cm="1">
        <f t="array" ref="G2">INDEX(B:B,G1+1)</f>
        <v>61</v>
      </c>
      <c r="O2" t="s">
        <v>79</v>
      </c>
      <c r="S2" t="s">
        <v>78</v>
      </c>
    </row>
    <row r="3" spans="1:19" x14ac:dyDescent="0.35">
      <c r="A3" t="s">
        <v>69</v>
      </c>
      <c r="B3">
        <v>31</v>
      </c>
      <c r="O3" t="s">
        <v>81</v>
      </c>
      <c r="S3" t="s">
        <v>80</v>
      </c>
    </row>
    <row r="4" spans="1:19" x14ac:dyDescent="0.35">
      <c r="A4" t="s">
        <v>66</v>
      </c>
      <c r="B4">
        <v>32</v>
      </c>
    </row>
    <row r="5" spans="1:19" x14ac:dyDescent="0.35">
      <c r="A5" t="s">
        <v>67</v>
      </c>
      <c r="B5">
        <v>32</v>
      </c>
    </row>
    <row r="6" spans="1:19" x14ac:dyDescent="0.35">
      <c r="A6" t="s">
        <v>68</v>
      </c>
      <c r="B6">
        <v>32</v>
      </c>
    </row>
    <row r="7" spans="1:19" x14ac:dyDescent="0.35">
      <c r="A7" t="s">
        <v>65</v>
      </c>
      <c r="B7">
        <v>35</v>
      </c>
      <c r="K7">
        <v>60</v>
      </c>
      <c r="N7">
        <v>185</v>
      </c>
      <c r="O7">
        <v>190</v>
      </c>
      <c r="P7">
        <v>16</v>
      </c>
    </row>
    <row r="8" spans="1:19" x14ac:dyDescent="0.35">
      <c r="A8" t="s">
        <v>64</v>
      </c>
      <c r="B8">
        <v>44</v>
      </c>
      <c r="K8" t="s">
        <v>97</v>
      </c>
      <c r="N8">
        <v>75</v>
      </c>
      <c r="O8">
        <v>187</v>
      </c>
      <c r="P8">
        <v>235</v>
      </c>
    </row>
    <row r="9" spans="1:19" x14ac:dyDescent="0.35">
      <c r="A9" t="s">
        <v>63</v>
      </c>
      <c r="B9">
        <v>52</v>
      </c>
      <c r="K9" t="s">
        <v>98</v>
      </c>
      <c r="N9">
        <v>254</v>
      </c>
      <c r="O9">
        <v>169</v>
      </c>
      <c r="P9">
        <v>0</v>
      </c>
    </row>
    <row r="10" spans="1:19" x14ac:dyDescent="0.35">
      <c r="A10" t="s">
        <v>62</v>
      </c>
      <c r="B10">
        <v>53</v>
      </c>
      <c r="N10">
        <v>233</v>
      </c>
      <c r="O10">
        <v>43</v>
      </c>
      <c r="P10">
        <v>45</v>
      </c>
    </row>
    <row r="11" spans="1:19" x14ac:dyDescent="0.35">
      <c r="A11" t="s">
        <v>61</v>
      </c>
      <c r="B11">
        <v>58</v>
      </c>
    </row>
    <row r="12" spans="1:19" x14ac:dyDescent="0.35">
      <c r="A12" t="s">
        <v>59</v>
      </c>
      <c r="B12">
        <v>59</v>
      </c>
    </row>
    <row r="13" spans="1:19" x14ac:dyDescent="0.35">
      <c r="A13" t="s">
        <v>60</v>
      </c>
      <c r="B13">
        <v>59</v>
      </c>
    </row>
    <row r="14" spans="1:19" x14ac:dyDescent="0.35">
      <c r="A14" t="s">
        <v>58</v>
      </c>
      <c r="B14">
        <v>60</v>
      </c>
    </row>
    <row r="15" spans="1:19" x14ac:dyDescent="0.35">
      <c r="A15" t="s">
        <v>57</v>
      </c>
      <c r="B15">
        <v>61</v>
      </c>
    </row>
    <row r="16" spans="1:19" x14ac:dyDescent="0.35">
      <c r="A16" t="s">
        <v>56</v>
      </c>
      <c r="B16">
        <v>86</v>
      </c>
    </row>
    <row r="17" spans="1:2" x14ac:dyDescent="0.35">
      <c r="A17" t="s">
        <v>55</v>
      </c>
      <c r="B17">
        <v>99</v>
      </c>
    </row>
    <row r="18" spans="1:2" x14ac:dyDescent="0.35">
      <c r="A18" t="s">
        <v>54</v>
      </c>
      <c r="B18">
        <v>107</v>
      </c>
    </row>
    <row r="19" spans="1:2" x14ac:dyDescent="0.35">
      <c r="A19" t="s">
        <v>53</v>
      </c>
      <c r="B19">
        <v>115</v>
      </c>
    </row>
    <row r="20" spans="1:2" x14ac:dyDescent="0.35">
      <c r="A20" t="s">
        <v>52</v>
      </c>
      <c r="B20">
        <v>129</v>
      </c>
    </row>
    <row r="21" spans="1:2" x14ac:dyDescent="0.35">
      <c r="A21" t="s">
        <v>51</v>
      </c>
      <c r="B21">
        <v>215</v>
      </c>
    </row>
  </sheetData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23EEA-CC3D-4453-B95B-348C4C602701}">
  <sheetPr codeName="Sheet5"/>
  <dimension ref="A1:R22"/>
  <sheetViews>
    <sheetView zoomScale="80" zoomScaleNormal="80" workbookViewId="0">
      <selection activeCell="G25" sqref="G25"/>
    </sheetView>
  </sheetViews>
  <sheetFormatPr defaultRowHeight="14.5" x14ac:dyDescent="0.35"/>
  <cols>
    <col min="1" max="1" width="9" customWidth="1"/>
    <col min="2" max="2" width="9.08984375" customWidth="1"/>
    <col min="3" max="3" width="15.36328125" customWidth="1"/>
  </cols>
  <sheetData>
    <row r="1" spans="1:18" x14ac:dyDescent="0.35">
      <c r="A1" t="s">
        <v>32</v>
      </c>
      <c r="B1" t="s">
        <v>71</v>
      </c>
      <c r="C1" t="s">
        <v>72</v>
      </c>
    </row>
    <row r="2" spans="1:18" x14ac:dyDescent="0.35">
      <c r="A2" t="s">
        <v>48</v>
      </c>
      <c r="B2">
        <v>3</v>
      </c>
      <c r="C2">
        <v>4</v>
      </c>
    </row>
    <row r="3" spans="1:18" x14ac:dyDescent="0.35">
      <c r="A3" t="s">
        <v>35</v>
      </c>
      <c r="B3">
        <v>5</v>
      </c>
      <c r="C3">
        <v>5</v>
      </c>
      <c r="P3">
        <v>254</v>
      </c>
      <c r="Q3">
        <v>169</v>
      </c>
      <c r="R3">
        <v>0</v>
      </c>
    </row>
    <row r="4" spans="1:18" x14ac:dyDescent="0.35">
      <c r="A4" t="s">
        <v>36</v>
      </c>
      <c r="B4">
        <v>5</v>
      </c>
      <c r="C4">
        <v>5</v>
      </c>
      <c r="P4">
        <v>233</v>
      </c>
      <c r="Q4">
        <v>43</v>
      </c>
      <c r="R4">
        <v>45</v>
      </c>
    </row>
    <row r="5" spans="1:18" x14ac:dyDescent="0.35">
      <c r="A5" t="s">
        <v>41</v>
      </c>
      <c r="B5">
        <v>5</v>
      </c>
      <c r="C5">
        <v>5</v>
      </c>
    </row>
    <row r="6" spans="1:18" x14ac:dyDescent="0.35">
      <c r="A6" t="s">
        <v>37</v>
      </c>
      <c r="B6">
        <v>4</v>
      </c>
      <c r="C6">
        <v>6</v>
      </c>
    </row>
    <row r="7" spans="1:18" x14ac:dyDescent="0.35">
      <c r="A7" t="s">
        <v>47</v>
      </c>
      <c r="B7">
        <v>6</v>
      </c>
      <c r="C7">
        <v>7</v>
      </c>
    </row>
    <row r="8" spans="1:18" x14ac:dyDescent="0.35">
      <c r="A8" t="s">
        <v>40</v>
      </c>
      <c r="B8">
        <v>5</v>
      </c>
      <c r="C8">
        <v>7</v>
      </c>
    </row>
    <row r="9" spans="1:18" x14ac:dyDescent="0.35">
      <c r="A9" t="s">
        <v>43</v>
      </c>
      <c r="B9">
        <v>6</v>
      </c>
      <c r="C9">
        <v>8</v>
      </c>
    </row>
    <row r="10" spans="1:18" x14ac:dyDescent="0.35">
      <c r="A10" t="s">
        <v>44</v>
      </c>
      <c r="B10">
        <v>7</v>
      </c>
      <c r="C10">
        <v>8</v>
      </c>
    </row>
    <row r="11" spans="1:18" x14ac:dyDescent="0.35">
      <c r="A11" t="s">
        <v>49</v>
      </c>
      <c r="B11">
        <v>7</v>
      </c>
      <c r="C11">
        <v>8</v>
      </c>
    </row>
    <row r="12" spans="1:18" x14ac:dyDescent="0.35">
      <c r="A12" t="s">
        <v>38</v>
      </c>
      <c r="B12">
        <v>4</v>
      </c>
      <c r="C12">
        <v>9</v>
      </c>
    </row>
    <row r="13" spans="1:18" x14ac:dyDescent="0.35">
      <c r="A13" t="s">
        <v>34</v>
      </c>
      <c r="B13">
        <v>8</v>
      </c>
      <c r="C13">
        <v>9</v>
      </c>
    </row>
    <row r="14" spans="1:18" x14ac:dyDescent="0.35">
      <c r="A14" t="s">
        <v>45</v>
      </c>
      <c r="B14">
        <v>3</v>
      </c>
      <c r="C14">
        <v>9</v>
      </c>
    </row>
    <row r="15" spans="1:18" x14ac:dyDescent="0.35">
      <c r="A15" t="s">
        <v>33</v>
      </c>
      <c r="B15">
        <v>3</v>
      </c>
      <c r="C15">
        <v>10</v>
      </c>
    </row>
    <row r="16" spans="1:18" x14ac:dyDescent="0.35">
      <c r="A16" t="s">
        <v>46</v>
      </c>
      <c r="B16">
        <v>6</v>
      </c>
      <c r="C16">
        <v>10</v>
      </c>
    </row>
    <row r="17" spans="1:3" x14ac:dyDescent="0.35">
      <c r="A17" t="s">
        <v>42</v>
      </c>
      <c r="B17">
        <v>2</v>
      </c>
      <c r="C17">
        <v>17</v>
      </c>
    </row>
    <row r="18" spans="1:3" x14ac:dyDescent="0.35">
      <c r="A18" t="s">
        <v>16</v>
      </c>
      <c r="B18">
        <v>7</v>
      </c>
      <c r="C18">
        <v>19</v>
      </c>
    </row>
    <row r="21" spans="1:3" x14ac:dyDescent="0.35">
      <c r="A21" t="s">
        <v>84</v>
      </c>
    </row>
    <row r="22" spans="1:3" x14ac:dyDescent="0.35">
      <c r="A22" t="s">
        <v>87</v>
      </c>
    </row>
  </sheetData>
  <sortState xmlns:xlrd2="http://schemas.microsoft.com/office/spreadsheetml/2017/richdata2" ref="A2:C18">
    <sortCondition ref="C2"/>
  </sortState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C6AFE-1782-4D08-937C-29A1EE177258}">
  <sheetPr codeName="Sheet6"/>
  <dimension ref="A1:D21"/>
  <sheetViews>
    <sheetView zoomScale="80" zoomScaleNormal="80" workbookViewId="0">
      <selection activeCell="D5" sqref="D5"/>
    </sheetView>
  </sheetViews>
  <sheetFormatPr defaultRowHeight="14.5" x14ac:dyDescent="0.35"/>
  <cols>
    <col min="1" max="1" width="9" customWidth="1"/>
    <col min="2" max="2" width="11.26953125" style="1" customWidth="1"/>
  </cols>
  <sheetData>
    <row r="1" spans="1:4" x14ac:dyDescent="0.35">
      <c r="A1" t="s">
        <v>32</v>
      </c>
      <c r="B1" s="1" t="s">
        <v>73</v>
      </c>
    </row>
    <row r="2" spans="1:4" x14ac:dyDescent="0.35">
      <c r="A2" t="s">
        <v>35</v>
      </c>
      <c r="B2" s="1">
        <v>11.6666666666666</v>
      </c>
    </row>
    <row r="3" spans="1:4" x14ac:dyDescent="0.35">
      <c r="A3" t="s">
        <v>41</v>
      </c>
      <c r="B3" s="1">
        <v>8.4</v>
      </c>
    </row>
    <row r="4" spans="1:4" x14ac:dyDescent="0.35">
      <c r="A4" t="s">
        <v>37</v>
      </c>
      <c r="B4" s="1">
        <v>0</v>
      </c>
      <c r="D4" t="s">
        <v>99</v>
      </c>
    </row>
    <row r="5" spans="1:4" x14ac:dyDescent="0.35">
      <c r="A5" t="s">
        <v>47</v>
      </c>
      <c r="B5" s="1">
        <v>11.545454545454501</v>
      </c>
    </row>
    <row r="6" spans="1:4" x14ac:dyDescent="0.35">
      <c r="A6" t="s">
        <v>49</v>
      </c>
      <c r="B6" s="1">
        <v>8.6666666666666607</v>
      </c>
    </row>
    <row r="7" spans="1:4" x14ac:dyDescent="0.35">
      <c r="A7" t="s">
        <v>46</v>
      </c>
      <c r="B7" s="1">
        <v>12.4</v>
      </c>
    </row>
    <row r="8" spans="1:4" x14ac:dyDescent="0.35">
      <c r="A8" t="s">
        <v>34</v>
      </c>
      <c r="B8" s="1">
        <v>15.2777777777777</v>
      </c>
    </row>
    <row r="9" spans="1:4" x14ac:dyDescent="0.35">
      <c r="A9" t="s">
        <v>36</v>
      </c>
      <c r="B9" s="1">
        <v>9.3333333333333304</v>
      </c>
    </row>
    <row r="10" spans="1:4" x14ac:dyDescent="0.35">
      <c r="A10" t="s">
        <v>40</v>
      </c>
      <c r="B10" s="1">
        <v>0</v>
      </c>
    </row>
    <row r="11" spans="1:4" x14ac:dyDescent="0.35">
      <c r="A11" t="s">
        <v>45</v>
      </c>
      <c r="B11" s="1">
        <v>2.2000000000000002</v>
      </c>
    </row>
    <row r="12" spans="1:4" x14ac:dyDescent="0.35">
      <c r="A12" t="s">
        <v>44</v>
      </c>
      <c r="B12" s="1">
        <v>7.6923076923076898</v>
      </c>
    </row>
    <row r="13" spans="1:4" x14ac:dyDescent="0.35">
      <c r="A13" t="s">
        <v>43</v>
      </c>
      <c r="B13" s="1">
        <v>19.2222222222222</v>
      </c>
    </row>
    <row r="14" spans="1:4" x14ac:dyDescent="0.35">
      <c r="A14" t="s">
        <v>33</v>
      </c>
      <c r="B14" s="1">
        <v>0</v>
      </c>
    </row>
    <row r="15" spans="1:4" x14ac:dyDescent="0.35">
      <c r="A15" t="s">
        <v>48</v>
      </c>
      <c r="B15" s="1">
        <v>13</v>
      </c>
    </row>
    <row r="16" spans="1:4" x14ac:dyDescent="0.35">
      <c r="A16" t="s">
        <v>38</v>
      </c>
      <c r="B16" s="1">
        <v>8.71428571428571</v>
      </c>
    </row>
    <row r="17" spans="1:2" x14ac:dyDescent="0.35">
      <c r="A17" t="s">
        <v>42</v>
      </c>
      <c r="B17" s="1">
        <v>0</v>
      </c>
    </row>
    <row r="18" spans="1:2" x14ac:dyDescent="0.35">
      <c r="A18" t="s">
        <v>16</v>
      </c>
      <c r="B18" s="1">
        <v>36</v>
      </c>
    </row>
    <row r="20" spans="1:2" x14ac:dyDescent="0.35">
      <c r="A20" t="s">
        <v>85</v>
      </c>
    </row>
    <row r="21" spans="1:2" x14ac:dyDescent="0.35">
      <c r="A21" t="s">
        <v>86</v>
      </c>
    </row>
  </sheetData>
  <sortState xmlns:xlrd2="http://schemas.microsoft.com/office/spreadsheetml/2017/richdata2" ref="A2:B18">
    <sortCondition ref="B2"/>
  </sortState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1ED55-2E6C-4A3C-A151-E88677335C90}">
  <sheetPr codeName="Sheet1"/>
  <dimension ref="A1:C97"/>
  <sheetViews>
    <sheetView workbookViewId="0">
      <selection activeCell="B4" sqref="B4"/>
    </sheetView>
  </sheetViews>
  <sheetFormatPr defaultRowHeight="14.5" x14ac:dyDescent="0.35"/>
  <cols>
    <col min="2" max="2" width="15.36328125" customWidth="1"/>
    <col min="10" max="10" width="13.08984375" bestFit="1" customWidth="1"/>
    <col min="11" max="11" width="15.7265625" bestFit="1" customWidth="1"/>
    <col min="12" max="12" width="11.54296875" bestFit="1" customWidth="1"/>
  </cols>
  <sheetData>
    <row r="1" spans="1:3" x14ac:dyDescent="0.35">
      <c r="A1" s="6" t="s">
        <v>0</v>
      </c>
      <c r="B1" s="6" t="s">
        <v>1</v>
      </c>
      <c r="C1" s="6" t="s">
        <v>2</v>
      </c>
    </row>
    <row r="2" spans="1:3" x14ac:dyDescent="0.35">
      <c r="A2" s="4" t="s">
        <v>3</v>
      </c>
      <c r="B2" s="4" t="s">
        <v>4</v>
      </c>
      <c r="C2" s="4">
        <v>54</v>
      </c>
    </row>
    <row r="3" spans="1:3" x14ac:dyDescent="0.35">
      <c r="A3" s="5" t="s">
        <v>5</v>
      </c>
      <c r="B3" s="5" t="s">
        <v>4</v>
      </c>
      <c r="C3" s="5">
        <v>73</v>
      </c>
    </row>
    <row r="4" spans="1:3" x14ac:dyDescent="0.35">
      <c r="A4" s="4" t="s">
        <v>6</v>
      </c>
      <c r="B4" s="4" t="s">
        <v>7</v>
      </c>
      <c r="C4" s="4">
        <v>36</v>
      </c>
    </row>
    <row r="5" spans="1:3" x14ac:dyDescent="0.35">
      <c r="A5" s="5" t="s">
        <v>5</v>
      </c>
      <c r="B5" s="5" t="s">
        <v>8</v>
      </c>
      <c r="C5" s="5">
        <v>10</v>
      </c>
    </row>
    <row r="6" spans="1:3" x14ac:dyDescent="0.35">
      <c r="A6" s="4" t="s">
        <v>9</v>
      </c>
      <c r="B6" s="4" t="s">
        <v>4</v>
      </c>
      <c r="C6" s="4">
        <v>67</v>
      </c>
    </row>
    <row r="7" spans="1:3" x14ac:dyDescent="0.35">
      <c r="A7" s="5" t="s">
        <v>10</v>
      </c>
      <c r="B7" s="5" t="s">
        <v>4</v>
      </c>
      <c r="C7" s="5">
        <v>56</v>
      </c>
    </row>
    <row r="8" spans="1:3" x14ac:dyDescent="0.35">
      <c r="A8" s="4" t="s">
        <v>11</v>
      </c>
      <c r="B8" s="4" t="s">
        <v>4</v>
      </c>
      <c r="C8" s="4">
        <v>85</v>
      </c>
    </row>
    <row r="9" spans="1:3" x14ac:dyDescent="0.35">
      <c r="A9" s="5" t="s">
        <v>5</v>
      </c>
      <c r="B9" s="5" t="s">
        <v>12</v>
      </c>
      <c r="C9" s="5">
        <v>32</v>
      </c>
    </row>
    <row r="10" spans="1:3" x14ac:dyDescent="0.35">
      <c r="A10" s="4" t="s">
        <v>13</v>
      </c>
      <c r="B10" s="4" t="s">
        <v>14</v>
      </c>
      <c r="C10" s="4">
        <v>29</v>
      </c>
    </row>
    <row r="11" spans="1:3" x14ac:dyDescent="0.35">
      <c r="A11" s="5" t="s">
        <v>6</v>
      </c>
      <c r="B11" s="5" t="s">
        <v>14</v>
      </c>
      <c r="C11" s="5">
        <v>18</v>
      </c>
    </row>
    <row r="12" spans="1:3" x14ac:dyDescent="0.35">
      <c r="A12" s="4" t="s">
        <v>15</v>
      </c>
      <c r="B12" s="4" t="s">
        <v>8</v>
      </c>
      <c r="C12" s="4">
        <v>11</v>
      </c>
    </row>
    <row r="13" spans="1:3" x14ac:dyDescent="0.35">
      <c r="A13" s="5" t="s">
        <v>9</v>
      </c>
      <c r="B13" s="5" t="s">
        <v>12</v>
      </c>
      <c r="C13" s="5">
        <v>51</v>
      </c>
    </row>
    <row r="14" spans="1:3" x14ac:dyDescent="0.35">
      <c r="A14" s="4" t="s">
        <v>16</v>
      </c>
      <c r="B14" s="4" t="s">
        <v>8</v>
      </c>
      <c r="C14" s="4">
        <v>2</v>
      </c>
    </row>
    <row r="15" spans="1:3" x14ac:dyDescent="0.35">
      <c r="A15" s="5" t="s">
        <v>13</v>
      </c>
      <c r="B15" s="5" t="s">
        <v>4</v>
      </c>
      <c r="C15" s="5">
        <v>99</v>
      </c>
    </row>
    <row r="16" spans="1:3" x14ac:dyDescent="0.35">
      <c r="A16" s="4" t="s">
        <v>17</v>
      </c>
      <c r="B16" s="4" t="s">
        <v>7</v>
      </c>
      <c r="C16" s="4">
        <v>35</v>
      </c>
    </row>
    <row r="17" spans="1:3" x14ac:dyDescent="0.35">
      <c r="A17" s="5" t="s">
        <v>18</v>
      </c>
      <c r="B17" s="5" t="s">
        <v>8</v>
      </c>
      <c r="C17" s="5">
        <v>16</v>
      </c>
    </row>
    <row r="18" spans="1:3" x14ac:dyDescent="0.35">
      <c r="A18" s="4" t="s">
        <v>19</v>
      </c>
      <c r="B18" s="4" t="s">
        <v>4</v>
      </c>
      <c r="C18" s="4">
        <v>55</v>
      </c>
    </row>
    <row r="19" spans="1:3" x14ac:dyDescent="0.35">
      <c r="A19" s="5" t="s">
        <v>10</v>
      </c>
      <c r="B19" s="5" t="s">
        <v>8</v>
      </c>
      <c r="C19" s="5">
        <v>19</v>
      </c>
    </row>
    <row r="20" spans="1:3" x14ac:dyDescent="0.35">
      <c r="A20" s="4" t="s">
        <v>13</v>
      </c>
      <c r="B20" s="4" t="s">
        <v>8</v>
      </c>
      <c r="C20" s="4">
        <v>34</v>
      </c>
    </row>
    <row r="21" spans="1:3" x14ac:dyDescent="0.35">
      <c r="A21" s="5" t="s">
        <v>19</v>
      </c>
      <c r="B21" s="5" t="s">
        <v>14</v>
      </c>
      <c r="C21" s="5">
        <v>15</v>
      </c>
    </row>
    <row r="22" spans="1:3" x14ac:dyDescent="0.35">
      <c r="A22" s="4" t="s">
        <v>9</v>
      </c>
      <c r="B22" s="4" t="s">
        <v>14</v>
      </c>
      <c r="C22" s="4">
        <v>47</v>
      </c>
    </row>
    <row r="23" spans="1:3" x14ac:dyDescent="0.35">
      <c r="A23" s="5" t="s">
        <v>20</v>
      </c>
      <c r="B23" s="5" t="s">
        <v>7</v>
      </c>
      <c r="C23" s="5">
        <v>90</v>
      </c>
    </row>
    <row r="24" spans="1:3" x14ac:dyDescent="0.35">
      <c r="A24" s="4" t="s">
        <v>21</v>
      </c>
      <c r="B24" s="4" t="s">
        <v>7</v>
      </c>
      <c r="C24" s="4">
        <v>77</v>
      </c>
    </row>
    <row r="25" spans="1:3" x14ac:dyDescent="0.35">
      <c r="A25" s="5" t="s">
        <v>10</v>
      </c>
      <c r="B25" s="5" t="s">
        <v>7</v>
      </c>
      <c r="C25" s="5">
        <v>81</v>
      </c>
    </row>
    <row r="26" spans="1:3" x14ac:dyDescent="0.35">
      <c r="A26" s="4" t="s">
        <v>22</v>
      </c>
      <c r="B26" s="4" t="s">
        <v>12</v>
      </c>
      <c r="C26" s="4">
        <v>119</v>
      </c>
    </row>
    <row r="27" spans="1:3" x14ac:dyDescent="0.35">
      <c r="A27" s="5" t="s">
        <v>3</v>
      </c>
      <c r="B27" s="5" t="s">
        <v>12</v>
      </c>
      <c r="C27" s="5">
        <v>27</v>
      </c>
    </row>
    <row r="28" spans="1:3" x14ac:dyDescent="0.35">
      <c r="A28" s="4" t="s">
        <v>23</v>
      </c>
      <c r="B28" s="4" t="s">
        <v>7</v>
      </c>
      <c r="C28" s="4">
        <v>16</v>
      </c>
    </row>
    <row r="29" spans="1:3" x14ac:dyDescent="0.35">
      <c r="A29" s="5" t="s">
        <v>17</v>
      </c>
      <c r="B29" s="5" t="s">
        <v>4</v>
      </c>
      <c r="C29" s="5">
        <v>60</v>
      </c>
    </row>
    <row r="30" spans="1:3" x14ac:dyDescent="0.35">
      <c r="A30" s="4" t="s">
        <v>15</v>
      </c>
      <c r="B30" s="4" t="s">
        <v>7</v>
      </c>
      <c r="C30" s="4">
        <v>73</v>
      </c>
    </row>
    <row r="31" spans="1:3" x14ac:dyDescent="0.35">
      <c r="A31" s="5" t="s">
        <v>24</v>
      </c>
      <c r="B31" s="5" t="s">
        <v>14</v>
      </c>
      <c r="C31" s="5">
        <v>72</v>
      </c>
    </row>
    <row r="32" spans="1:3" x14ac:dyDescent="0.35">
      <c r="A32" s="4" t="s">
        <v>25</v>
      </c>
      <c r="B32" s="4" t="s">
        <v>7</v>
      </c>
      <c r="C32" s="4">
        <v>41</v>
      </c>
    </row>
    <row r="33" spans="1:3" x14ac:dyDescent="0.35">
      <c r="A33" s="5" t="s">
        <v>25</v>
      </c>
      <c r="B33" s="5" t="s">
        <v>4</v>
      </c>
      <c r="C33" s="5">
        <v>74</v>
      </c>
    </row>
    <row r="34" spans="1:3" x14ac:dyDescent="0.35">
      <c r="A34" s="4" t="s">
        <v>16</v>
      </c>
      <c r="B34" s="4" t="s">
        <v>14</v>
      </c>
      <c r="C34" s="4">
        <v>18</v>
      </c>
    </row>
    <row r="35" spans="1:3" x14ac:dyDescent="0.35">
      <c r="A35" s="5" t="s">
        <v>15</v>
      </c>
      <c r="B35" s="5" t="s">
        <v>14</v>
      </c>
      <c r="C35" s="5">
        <v>52</v>
      </c>
    </row>
    <row r="36" spans="1:3" x14ac:dyDescent="0.35">
      <c r="A36" s="4" t="s">
        <v>24</v>
      </c>
      <c r="B36" s="4" t="s">
        <v>12</v>
      </c>
      <c r="C36" s="4">
        <v>64</v>
      </c>
    </row>
    <row r="37" spans="1:3" x14ac:dyDescent="0.35">
      <c r="A37" s="5" t="s">
        <v>20</v>
      </c>
      <c r="B37" s="5" t="s">
        <v>8</v>
      </c>
      <c r="C37" s="5">
        <v>10</v>
      </c>
    </row>
    <row r="38" spans="1:3" x14ac:dyDescent="0.35">
      <c r="A38" s="4" t="s">
        <v>21</v>
      </c>
      <c r="B38" s="4" t="s">
        <v>4</v>
      </c>
      <c r="C38" s="4">
        <v>100</v>
      </c>
    </row>
    <row r="39" spans="1:3" x14ac:dyDescent="0.35">
      <c r="A39" s="5" t="s">
        <v>17</v>
      </c>
      <c r="B39" s="5" t="s">
        <v>12</v>
      </c>
      <c r="C39" s="5">
        <v>25</v>
      </c>
    </row>
    <row r="40" spans="1:3" x14ac:dyDescent="0.35">
      <c r="A40" s="4" t="s">
        <v>26</v>
      </c>
      <c r="B40" s="4" t="s">
        <v>7</v>
      </c>
      <c r="C40" s="4">
        <v>54</v>
      </c>
    </row>
    <row r="41" spans="1:3" x14ac:dyDescent="0.35">
      <c r="A41" s="5" t="s">
        <v>9</v>
      </c>
      <c r="B41" s="5" t="s">
        <v>7</v>
      </c>
      <c r="C41" s="5">
        <v>60</v>
      </c>
    </row>
    <row r="42" spans="1:3" x14ac:dyDescent="0.35">
      <c r="A42" s="4" t="s">
        <v>13</v>
      </c>
      <c r="B42" s="4" t="s">
        <v>12</v>
      </c>
      <c r="C42" s="4">
        <v>49</v>
      </c>
    </row>
    <row r="43" spans="1:3" x14ac:dyDescent="0.35">
      <c r="A43" s="5" t="s">
        <v>27</v>
      </c>
      <c r="B43" s="5" t="s">
        <v>7</v>
      </c>
      <c r="C43" s="5">
        <v>2</v>
      </c>
    </row>
    <row r="44" spans="1:3" x14ac:dyDescent="0.35">
      <c r="A44" s="4" t="s">
        <v>9</v>
      </c>
      <c r="B44" s="4" t="s">
        <v>8</v>
      </c>
      <c r="C44" s="4">
        <v>11</v>
      </c>
    </row>
    <row r="45" spans="1:3" x14ac:dyDescent="0.35">
      <c r="A45" s="5" t="s">
        <v>15</v>
      </c>
      <c r="B45" s="5" t="s">
        <v>4</v>
      </c>
      <c r="C45" s="5">
        <v>110</v>
      </c>
    </row>
    <row r="46" spans="1:3" x14ac:dyDescent="0.35">
      <c r="A46" s="4" t="s">
        <v>18</v>
      </c>
      <c r="B46" s="4" t="s">
        <v>12</v>
      </c>
      <c r="C46" s="4">
        <v>59</v>
      </c>
    </row>
    <row r="47" spans="1:3" x14ac:dyDescent="0.35">
      <c r="A47" s="5" t="s">
        <v>5</v>
      </c>
      <c r="B47" s="5" t="s">
        <v>14</v>
      </c>
      <c r="C47" s="5">
        <v>16</v>
      </c>
    </row>
    <row r="48" spans="1:3" x14ac:dyDescent="0.35">
      <c r="A48" s="4" t="s">
        <v>10</v>
      </c>
      <c r="B48" s="4" t="s">
        <v>14</v>
      </c>
      <c r="C48" s="4">
        <v>18</v>
      </c>
    </row>
    <row r="49" spans="1:3" x14ac:dyDescent="0.35">
      <c r="A49" s="5" t="s">
        <v>6</v>
      </c>
      <c r="B49" s="5" t="s">
        <v>8</v>
      </c>
      <c r="C49" s="5">
        <v>10</v>
      </c>
    </row>
    <row r="50" spans="1:3" x14ac:dyDescent="0.35">
      <c r="A50" s="4" t="s">
        <v>22</v>
      </c>
      <c r="B50" s="4" t="s">
        <v>7</v>
      </c>
      <c r="C50" s="4">
        <v>111</v>
      </c>
    </row>
    <row r="51" spans="1:3" x14ac:dyDescent="0.35">
      <c r="A51" s="5" t="s">
        <v>11</v>
      </c>
      <c r="B51" s="5" t="s">
        <v>7</v>
      </c>
      <c r="C51" s="5">
        <v>50</v>
      </c>
    </row>
    <row r="52" spans="1:3" x14ac:dyDescent="0.35">
      <c r="A52" s="4" t="s">
        <v>13</v>
      </c>
      <c r="B52" s="4" t="s">
        <v>7</v>
      </c>
      <c r="C52" s="4">
        <v>50</v>
      </c>
    </row>
    <row r="53" spans="1:3" x14ac:dyDescent="0.35">
      <c r="A53" s="5" t="s">
        <v>22</v>
      </c>
      <c r="B53" s="5" t="s">
        <v>14</v>
      </c>
      <c r="C53" s="5">
        <v>99</v>
      </c>
    </row>
    <row r="54" spans="1:3" x14ac:dyDescent="0.35">
      <c r="A54" s="4" t="s">
        <v>22</v>
      </c>
      <c r="B54" s="4" t="s">
        <v>4</v>
      </c>
      <c r="C54" s="4">
        <v>229</v>
      </c>
    </row>
    <row r="55" spans="1:3" x14ac:dyDescent="0.35">
      <c r="A55" s="5" t="s">
        <v>11</v>
      </c>
      <c r="B55" s="5" t="s">
        <v>12</v>
      </c>
      <c r="C55" s="5">
        <v>59</v>
      </c>
    </row>
    <row r="56" spans="1:3" x14ac:dyDescent="0.35">
      <c r="A56" s="4" t="s">
        <v>26</v>
      </c>
      <c r="B56" s="4" t="s">
        <v>4</v>
      </c>
      <c r="C56" s="4">
        <v>76</v>
      </c>
    </row>
    <row r="57" spans="1:3" x14ac:dyDescent="0.35">
      <c r="A57" s="5" t="s">
        <v>21</v>
      </c>
      <c r="B57" s="5" t="s">
        <v>8</v>
      </c>
      <c r="C57" s="5">
        <v>34</v>
      </c>
    </row>
    <row r="58" spans="1:3" x14ac:dyDescent="0.35">
      <c r="A58" s="4" t="s">
        <v>5</v>
      </c>
      <c r="B58" s="4" t="s">
        <v>7</v>
      </c>
      <c r="C58" s="4">
        <v>57</v>
      </c>
    </row>
    <row r="59" spans="1:3" x14ac:dyDescent="0.35">
      <c r="A59" s="5" t="s">
        <v>25</v>
      </c>
      <c r="B59" s="5" t="s">
        <v>12</v>
      </c>
      <c r="C59" s="5">
        <v>32</v>
      </c>
    </row>
    <row r="60" spans="1:3" x14ac:dyDescent="0.35">
      <c r="A60" s="4" t="s">
        <v>11</v>
      </c>
      <c r="B60" s="4" t="s">
        <v>8</v>
      </c>
      <c r="C60" s="4">
        <v>38</v>
      </c>
    </row>
    <row r="61" spans="1:3" x14ac:dyDescent="0.35">
      <c r="A61" s="5" t="s">
        <v>10</v>
      </c>
      <c r="B61" s="5" t="s">
        <v>12</v>
      </c>
      <c r="C61" s="5">
        <v>48</v>
      </c>
    </row>
    <row r="62" spans="1:3" x14ac:dyDescent="0.35">
      <c r="A62" s="4" t="s">
        <v>25</v>
      </c>
      <c r="B62" s="4" t="s">
        <v>8</v>
      </c>
      <c r="C62" s="4">
        <v>10</v>
      </c>
    </row>
    <row r="63" spans="1:3" x14ac:dyDescent="0.35">
      <c r="A63" s="5" t="s">
        <v>18</v>
      </c>
      <c r="B63" s="5" t="s">
        <v>4</v>
      </c>
      <c r="C63" s="5">
        <v>93</v>
      </c>
    </row>
    <row r="64" spans="1:3" x14ac:dyDescent="0.35">
      <c r="A64" s="4" t="s">
        <v>17</v>
      </c>
      <c r="B64" s="4" t="s">
        <v>8</v>
      </c>
      <c r="C64" s="4">
        <v>10</v>
      </c>
    </row>
    <row r="65" spans="1:3" x14ac:dyDescent="0.35">
      <c r="A65" s="5" t="s">
        <v>15</v>
      </c>
      <c r="B65" s="5" t="s">
        <v>12</v>
      </c>
      <c r="C65" s="5">
        <v>60</v>
      </c>
    </row>
    <row r="66" spans="1:3" x14ac:dyDescent="0.35">
      <c r="A66" s="4" t="s">
        <v>19</v>
      </c>
      <c r="B66" s="4" t="s">
        <v>8</v>
      </c>
      <c r="C66" s="4">
        <v>12</v>
      </c>
    </row>
    <row r="67" spans="1:3" x14ac:dyDescent="0.35">
      <c r="A67" s="5" t="s">
        <v>16</v>
      </c>
      <c r="B67" s="5" t="s">
        <v>4</v>
      </c>
      <c r="C67" s="5">
        <v>14</v>
      </c>
    </row>
    <row r="68" spans="1:3" x14ac:dyDescent="0.35">
      <c r="A68" s="4" t="s">
        <v>20</v>
      </c>
      <c r="B68" s="4" t="s">
        <v>14</v>
      </c>
      <c r="C68" s="4">
        <v>27</v>
      </c>
    </row>
    <row r="69" spans="1:3" x14ac:dyDescent="0.35">
      <c r="A69" s="5" t="s">
        <v>18</v>
      </c>
      <c r="B69" s="5" t="s">
        <v>7</v>
      </c>
      <c r="C69" s="5">
        <v>136</v>
      </c>
    </row>
    <row r="70" spans="1:3" x14ac:dyDescent="0.35">
      <c r="A70" s="4" t="s">
        <v>3</v>
      </c>
      <c r="B70" s="4" t="s">
        <v>14</v>
      </c>
      <c r="C70" s="4">
        <v>19</v>
      </c>
    </row>
    <row r="71" spans="1:3" x14ac:dyDescent="0.35">
      <c r="A71" s="5" t="s">
        <v>3</v>
      </c>
      <c r="B71" s="5" t="s">
        <v>8</v>
      </c>
      <c r="C71" s="5">
        <v>10</v>
      </c>
    </row>
    <row r="72" spans="1:3" x14ac:dyDescent="0.35">
      <c r="A72" s="4" t="s">
        <v>11</v>
      </c>
      <c r="B72" s="4" t="s">
        <v>14</v>
      </c>
      <c r="C72" s="4">
        <v>24</v>
      </c>
    </row>
    <row r="73" spans="1:3" x14ac:dyDescent="0.35">
      <c r="A73" s="5" t="s">
        <v>6</v>
      </c>
      <c r="B73" s="5" t="s">
        <v>12</v>
      </c>
      <c r="C73" s="5">
        <v>24</v>
      </c>
    </row>
    <row r="74" spans="1:3" x14ac:dyDescent="0.35">
      <c r="A74" s="4" t="s">
        <v>25</v>
      </c>
      <c r="B74" s="4" t="s">
        <v>14</v>
      </c>
      <c r="C74" s="4">
        <v>20</v>
      </c>
    </row>
    <row r="75" spans="1:3" x14ac:dyDescent="0.35">
      <c r="A75" s="5" t="s">
        <v>26</v>
      </c>
      <c r="B75" s="5" t="s">
        <v>12</v>
      </c>
      <c r="C75" s="5">
        <v>46</v>
      </c>
    </row>
    <row r="76" spans="1:3" x14ac:dyDescent="0.35">
      <c r="A76" s="4" t="s">
        <v>6</v>
      </c>
      <c r="B76" s="4" t="s">
        <v>4</v>
      </c>
      <c r="C76" s="4">
        <v>56</v>
      </c>
    </row>
    <row r="77" spans="1:3" x14ac:dyDescent="0.35">
      <c r="A77" s="5" t="s">
        <v>19</v>
      </c>
      <c r="B77" s="5" t="s">
        <v>7</v>
      </c>
      <c r="C77" s="5">
        <v>40</v>
      </c>
    </row>
    <row r="78" spans="1:3" x14ac:dyDescent="0.35">
      <c r="A78" s="4" t="s">
        <v>20</v>
      </c>
      <c r="B78" s="4" t="s">
        <v>4</v>
      </c>
      <c r="C78" s="4">
        <v>87</v>
      </c>
    </row>
    <row r="79" spans="1:3" x14ac:dyDescent="0.35">
      <c r="A79" s="5" t="s">
        <v>16</v>
      </c>
      <c r="B79" s="5" t="s">
        <v>12</v>
      </c>
      <c r="C79" s="5">
        <v>16</v>
      </c>
    </row>
    <row r="80" spans="1:3" x14ac:dyDescent="0.35">
      <c r="A80" s="4" t="s">
        <v>21</v>
      </c>
      <c r="B80" s="4" t="s">
        <v>12</v>
      </c>
      <c r="C80" s="4">
        <v>59</v>
      </c>
    </row>
    <row r="81" spans="1:3" x14ac:dyDescent="0.35">
      <c r="A81" s="5" t="s">
        <v>20</v>
      </c>
      <c r="B81" s="5" t="s">
        <v>12</v>
      </c>
      <c r="C81" s="5">
        <v>47</v>
      </c>
    </row>
    <row r="82" spans="1:3" x14ac:dyDescent="0.35">
      <c r="A82" s="4" t="s">
        <v>17</v>
      </c>
      <c r="B82" s="4" t="s">
        <v>14</v>
      </c>
      <c r="C82" s="4">
        <v>15</v>
      </c>
    </row>
    <row r="83" spans="1:3" x14ac:dyDescent="0.35">
      <c r="A83" s="5" t="s">
        <v>24</v>
      </c>
      <c r="B83" s="5" t="s">
        <v>8</v>
      </c>
      <c r="C83" s="5">
        <v>11</v>
      </c>
    </row>
    <row r="84" spans="1:3" x14ac:dyDescent="0.35">
      <c r="A84" s="4" t="s">
        <v>26</v>
      </c>
      <c r="B84" s="4" t="s">
        <v>14</v>
      </c>
      <c r="C84" s="4">
        <v>24</v>
      </c>
    </row>
    <row r="85" spans="1:3" x14ac:dyDescent="0.35">
      <c r="A85" s="5" t="s">
        <v>24</v>
      </c>
      <c r="B85" s="5" t="s">
        <v>4</v>
      </c>
      <c r="C85" s="5">
        <v>98</v>
      </c>
    </row>
    <row r="86" spans="1:3" x14ac:dyDescent="0.35">
      <c r="A86" s="4" t="s">
        <v>22</v>
      </c>
      <c r="B86" s="4" t="s">
        <v>8</v>
      </c>
      <c r="C86" s="4">
        <v>26</v>
      </c>
    </row>
    <row r="87" spans="1:3" x14ac:dyDescent="0.35">
      <c r="A87" s="5" t="s">
        <v>3</v>
      </c>
      <c r="B87" s="5" t="s">
        <v>7</v>
      </c>
      <c r="C87" s="5">
        <v>35</v>
      </c>
    </row>
    <row r="88" spans="1:3" x14ac:dyDescent="0.35">
      <c r="A88" s="4" t="s">
        <v>18</v>
      </c>
      <c r="B88" s="4" t="s">
        <v>14</v>
      </c>
      <c r="C88" s="4">
        <v>88</v>
      </c>
    </row>
    <row r="89" spans="1:3" x14ac:dyDescent="0.35">
      <c r="A89" s="5" t="s">
        <v>16</v>
      </c>
      <c r="B89" s="5" t="s">
        <v>7</v>
      </c>
      <c r="C89" s="5">
        <v>30</v>
      </c>
    </row>
    <row r="90" spans="1:3" x14ac:dyDescent="0.35">
      <c r="A90" s="4" t="s">
        <v>26</v>
      </c>
      <c r="B90" s="4" t="s">
        <v>8</v>
      </c>
      <c r="C90" s="4">
        <v>17</v>
      </c>
    </row>
    <row r="91" spans="1:3" x14ac:dyDescent="0.35">
      <c r="A91" s="5" t="s">
        <v>24</v>
      </c>
      <c r="B91" s="5" t="s">
        <v>7</v>
      </c>
      <c r="C91" s="5">
        <v>76</v>
      </c>
    </row>
    <row r="92" spans="1:3" x14ac:dyDescent="0.35">
      <c r="A92" s="4" t="s">
        <v>21</v>
      </c>
      <c r="B92" s="4" t="s">
        <v>14</v>
      </c>
      <c r="C92" s="4">
        <v>22</v>
      </c>
    </row>
    <row r="93" spans="1:3" x14ac:dyDescent="0.35">
      <c r="A93" s="7" t="s">
        <v>19</v>
      </c>
      <c r="B93" s="7" t="s">
        <v>12</v>
      </c>
      <c r="C93" s="7">
        <v>43</v>
      </c>
    </row>
    <row r="95" spans="1:3" x14ac:dyDescent="0.35">
      <c r="A95" t="s">
        <v>88</v>
      </c>
    </row>
    <row r="96" spans="1:3" x14ac:dyDescent="0.35">
      <c r="A96" t="s">
        <v>89</v>
      </c>
    </row>
    <row r="97" spans="1:1" x14ac:dyDescent="0.35">
      <c r="A97" t="s">
        <v>90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4A9CE-CDF4-42E9-9E8D-FF5D63A45126}">
  <sheetPr codeName="Sheet13"/>
  <dimension ref="A1:G23"/>
  <sheetViews>
    <sheetView topLeftCell="A72" workbookViewId="0">
      <selection activeCell="A85" sqref="A85"/>
    </sheetView>
  </sheetViews>
  <sheetFormatPr defaultRowHeight="14.5" x14ac:dyDescent="0.35"/>
  <cols>
    <col min="1" max="1" width="11.54296875" bestFit="1" customWidth="1"/>
    <col min="2" max="6" width="15.7265625" bestFit="1" customWidth="1"/>
    <col min="7" max="7" width="10.7265625" bestFit="1" customWidth="1"/>
    <col min="8" max="21" width="11.26953125" bestFit="1" customWidth="1"/>
    <col min="22" max="22" width="10.7265625" bestFit="1" customWidth="1"/>
  </cols>
  <sheetData>
    <row r="1" spans="1:7" x14ac:dyDescent="0.35">
      <c r="A1" s="2" t="s">
        <v>82</v>
      </c>
      <c r="B1" s="2" t="s">
        <v>1</v>
      </c>
    </row>
    <row r="2" spans="1:7" x14ac:dyDescent="0.35">
      <c r="A2" s="2" t="s">
        <v>0</v>
      </c>
      <c r="B2" t="s">
        <v>7</v>
      </c>
      <c r="C2" t="s">
        <v>4</v>
      </c>
      <c r="D2" t="s">
        <v>14</v>
      </c>
      <c r="E2" t="s">
        <v>12</v>
      </c>
      <c r="F2" t="s">
        <v>8</v>
      </c>
      <c r="G2" t="s">
        <v>83</v>
      </c>
    </row>
    <row r="3" spans="1:7" x14ac:dyDescent="0.35">
      <c r="A3" t="s">
        <v>13</v>
      </c>
      <c r="B3" s="3">
        <v>50</v>
      </c>
      <c r="C3" s="3">
        <v>99</v>
      </c>
      <c r="D3" s="3">
        <v>29</v>
      </c>
      <c r="E3" s="3">
        <v>49</v>
      </c>
      <c r="F3" s="3">
        <v>34</v>
      </c>
      <c r="G3" s="3">
        <v>261</v>
      </c>
    </row>
    <row r="4" spans="1:7" x14ac:dyDescent="0.35">
      <c r="A4" t="s">
        <v>15</v>
      </c>
      <c r="B4" s="3">
        <v>73</v>
      </c>
      <c r="C4" s="3">
        <v>110</v>
      </c>
      <c r="D4" s="3">
        <v>52</v>
      </c>
      <c r="E4" s="3">
        <v>60</v>
      </c>
      <c r="F4" s="3">
        <v>11</v>
      </c>
      <c r="G4" s="3">
        <v>306</v>
      </c>
    </row>
    <row r="5" spans="1:7" x14ac:dyDescent="0.35">
      <c r="A5" t="s">
        <v>24</v>
      </c>
      <c r="B5" s="3">
        <v>76</v>
      </c>
      <c r="C5" s="3">
        <v>98</v>
      </c>
      <c r="D5" s="3">
        <v>72</v>
      </c>
      <c r="E5" s="3">
        <v>64</v>
      </c>
      <c r="F5" s="3">
        <v>11</v>
      </c>
      <c r="G5" s="3">
        <v>321</v>
      </c>
    </row>
    <row r="6" spans="1:7" x14ac:dyDescent="0.35">
      <c r="A6" t="s">
        <v>23</v>
      </c>
      <c r="B6" s="3">
        <v>16</v>
      </c>
      <c r="C6" s="3"/>
      <c r="D6" s="3"/>
      <c r="E6" s="3"/>
      <c r="F6" s="3"/>
      <c r="G6" s="3">
        <v>16</v>
      </c>
    </row>
    <row r="7" spans="1:7" x14ac:dyDescent="0.35">
      <c r="A7" t="s">
        <v>10</v>
      </c>
      <c r="B7" s="3">
        <v>81</v>
      </c>
      <c r="C7" s="3">
        <v>56</v>
      </c>
      <c r="D7" s="3">
        <v>18</v>
      </c>
      <c r="E7" s="3">
        <v>48</v>
      </c>
      <c r="F7" s="3">
        <v>19</v>
      </c>
      <c r="G7" s="3">
        <v>222</v>
      </c>
    </row>
    <row r="8" spans="1:7" x14ac:dyDescent="0.35">
      <c r="A8" t="s">
        <v>21</v>
      </c>
      <c r="B8" s="3">
        <v>77</v>
      </c>
      <c r="C8" s="3">
        <v>100</v>
      </c>
      <c r="D8" s="3">
        <v>22</v>
      </c>
      <c r="E8" s="3">
        <v>59</v>
      </c>
      <c r="F8" s="3">
        <v>34</v>
      </c>
      <c r="G8" s="3">
        <v>292</v>
      </c>
    </row>
    <row r="9" spans="1:7" x14ac:dyDescent="0.35">
      <c r="A9" t="s">
        <v>18</v>
      </c>
      <c r="B9" s="3">
        <v>136</v>
      </c>
      <c r="C9" s="3">
        <v>93</v>
      </c>
      <c r="D9" s="3">
        <v>88</v>
      </c>
      <c r="E9" s="3">
        <v>59</v>
      </c>
      <c r="F9" s="3">
        <v>16</v>
      </c>
      <c r="G9" s="3">
        <v>392</v>
      </c>
    </row>
    <row r="10" spans="1:7" x14ac:dyDescent="0.35">
      <c r="A10" t="s">
        <v>19</v>
      </c>
      <c r="B10" s="3">
        <v>40</v>
      </c>
      <c r="C10" s="3">
        <v>55</v>
      </c>
      <c r="D10" s="3">
        <v>15</v>
      </c>
      <c r="E10" s="3">
        <v>43</v>
      </c>
      <c r="F10" s="3">
        <v>12</v>
      </c>
      <c r="G10" s="3">
        <v>165</v>
      </c>
    </row>
    <row r="11" spans="1:7" x14ac:dyDescent="0.35">
      <c r="A11" t="s">
        <v>6</v>
      </c>
      <c r="B11" s="3">
        <v>36</v>
      </c>
      <c r="C11" s="3">
        <v>56</v>
      </c>
      <c r="D11" s="3">
        <v>18</v>
      </c>
      <c r="E11" s="3">
        <v>24</v>
      </c>
      <c r="F11" s="3">
        <v>10</v>
      </c>
      <c r="G11" s="3">
        <v>144</v>
      </c>
    </row>
    <row r="12" spans="1:7" x14ac:dyDescent="0.35">
      <c r="A12" t="s">
        <v>17</v>
      </c>
      <c r="B12" s="3">
        <v>35</v>
      </c>
      <c r="C12" s="3">
        <v>60</v>
      </c>
      <c r="D12" s="3">
        <v>15</v>
      </c>
      <c r="E12" s="3">
        <v>25</v>
      </c>
      <c r="F12" s="3">
        <v>10</v>
      </c>
      <c r="G12" s="3">
        <v>145</v>
      </c>
    </row>
    <row r="13" spans="1:7" x14ac:dyDescent="0.35">
      <c r="A13" t="s">
        <v>26</v>
      </c>
      <c r="B13" s="3">
        <v>54</v>
      </c>
      <c r="C13" s="3">
        <v>76</v>
      </c>
      <c r="D13" s="3">
        <v>24</v>
      </c>
      <c r="E13" s="3">
        <v>46</v>
      </c>
      <c r="F13" s="3">
        <v>17</v>
      </c>
      <c r="G13" s="3">
        <v>217</v>
      </c>
    </row>
    <row r="14" spans="1:7" x14ac:dyDescent="0.35">
      <c r="A14" t="s">
        <v>3</v>
      </c>
      <c r="B14" s="3">
        <v>35</v>
      </c>
      <c r="C14" s="3">
        <v>54</v>
      </c>
      <c r="D14" s="3">
        <v>19</v>
      </c>
      <c r="E14" s="3">
        <v>27</v>
      </c>
      <c r="F14" s="3">
        <v>10</v>
      </c>
      <c r="G14" s="3">
        <v>145</v>
      </c>
    </row>
    <row r="15" spans="1:7" x14ac:dyDescent="0.35">
      <c r="A15" t="s">
        <v>5</v>
      </c>
      <c r="B15" s="3">
        <v>57</v>
      </c>
      <c r="C15" s="3">
        <v>73</v>
      </c>
      <c r="D15" s="3">
        <v>16</v>
      </c>
      <c r="E15" s="3">
        <v>32</v>
      </c>
      <c r="F15" s="3">
        <v>10</v>
      </c>
      <c r="G15" s="3">
        <v>188</v>
      </c>
    </row>
    <row r="16" spans="1:7" x14ac:dyDescent="0.35">
      <c r="A16" t="s">
        <v>20</v>
      </c>
      <c r="B16" s="3">
        <v>90</v>
      </c>
      <c r="C16" s="3">
        <v>87</v>
      </c>
      <c r="D16" s="3">
        <v>27</v>
      </c>
      <c r="E16" s="3">
        <v>47</v>
      </c>
      <c r="F16" s="3">
        <v>10</v>
      </c>
      <c r="G16" s="3">
        <v>261</v>
      </c>
    </row>
    <row r="17" spans="1:7" x14ac:dyDescent="0.35">
      <c r="A17" t="s">
        <v>22</v>
      </c>
      <c r="B17" s="3">
        <v>111</v>
      </c>
      <c r="C17" s="3">
        <v>229</v>
      </c>
      <c r="D17" s="3">
        <v>99</v>
      </c>
      <c r="E17" s="3">
        <v>119</v>
      </c>
      <c r="F17" s="3">
        <v>26</v>
      </c>
      <c r="G17" s="3">
        <v>584</v>
      </c>
    </row>
    <row r="18" spans="1:7" x14ac:dyDescent="0.35">
      <c r="A18" t="s">
        <v>25</v>
      </c>
      <c r="B18" s="3">
        <v>41</v>
      </c>
      <c r="C18" s="3">
        <v>74</v>
      </c>
      <c r="D18" s="3">
        <v>20</v>
      </c>
      <c r="E18" s="3">
        <v>32</v>
      </c>
      <c r="F18" s="3">
        <v>10</v>
      </c>
      <c r="G18" s="3">
        <v>177</v>
      </c>
    </row>
    <row r="19" spans="1:7" x14ac:dyDescent="0.35">
      <c r="A19" t="s">
        <v>9</v>
      </c>
      <c r="B19" s="3">
        <v>60</v>
      </c>
      <c r="C19" s="3">
        <v>67</v>
      </c>
      <c r="D19" s="3">
        <v>47</v>
      </c>
      <c r="E19" s="3">
        <v>51</v>
      </c>
      <c r="F19" s="3">
        <v>11</v>
      </c>
      <c r="G19" s="3">
        <v>236</v>
      </c>
    </row>
    <row r="20" spans="1:7" x14ac:dyDescent="0.35">
      <c r="A20" t="s">
        <v>11</v>
      </c>
      <c r="B20" s="3">
        <v>50</v>
      </c>
      <c r="C20" s="3">
        <v>85</v>
      </c>
      <c r="D20" s="3">
        <v>24</v>
      </c>
      <c r="E20" s="3">
        <v>59</v>
      </c>
      <c r="F20" s="3">
        <v>38</v>
      </c>
      <c r="G20" s="3">
        <v>256</v>
      </c>
    </row>
    <row r="21" spans="1:7" x14ac:dyDescent="0.35">
      <c r="A21" t="s">
        <v>16</v>
      </c>
      <c r="B21" s="3">
        <v>30</v>
      </c>
      <c r="C21" s="3">
        <v>14</v>
      </c>
      <c r="D21" s="3">
        <v>18</v>
      </c>
      <c r="E21" s="3">
        <v>16</v>
      </c>
      <c r="F21" s="3">
        <v>2</v>
      </c>
      <c r="G21" s="3">
        <v>80</v>
      </c>
    </row>
    <row r="22" spans="1:7" x14ac:dyDescent="0.35">
      <c r="A22" t="s">
        <v>27</v>
      </c>
      <c r="B22" s="3">
        <v>2</v>
      </c>
      <c r="C22" s="3"/>
      <c r="D22" s="3"/>
      <c r="E22" s="3"/>
      <c r="F22" s="3"/>
      <c r="G22" s="3">
        <v>2</v>
      </c>
    </row>
    <row r="23" spans="1:7" x14ac:dyDescent="0.35">
      <c r="A23" t="s">
        <v>83</v>
      </c>
      <c r="B23" s="3">
        <v>1150</v>
      </c>
      <c r="C23" s="3">
        <v>1486</v>
      </c>
      <c r="D23" s="3">
        <v>623</v>
      </c>
      <c r="E23" s="3">
        <v>860</v>
      </c>
      <c r="F23" s="3">
        <v>291</v>
      </c>
      <c r="G23" s="3">
        <v>4410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8A33B-69D3-407D-9823-EE41C61D945A}">
  <sheetPr codeName="Sheet2"/>
  <dimension ref="A1:I38"/>
  <sheetViews>
    <sheetView zoomScale="80" zoomScaleNormal="80" workbookViewId="0">
      <selection activeCell="G27" sqref="G27"/>
    </sheetView>
  </sheetViews>
  <sheetFormatPr defaultRowHeight="14.5" x14ac:dyDescent="0.35"/>
  <cols>
    <col min="6" max="6" width="13.36328125" bestFit="1" customWidth="1"/>
    <col min="7" max="7" width="16.90625" bestFit="1" customWidth="1"/>
    <col min="8" max="8" width="32.90625" bestFit="1" customWidth="1"/>
    <col min="9" max="9" width="33.7265625" bestFit="1" customWidth="1"/>
    <col min="10" max="10" width="11" bestFit="1" customWidth="1"/>
    <col min="11" max="11" width="4.81640625" bestFit="1" customWidth="1"/>
    <col min="12" max="12" width="2.81640625" bestFit="1" customWidth="1"/>
    <col min="13" max="14" width="3.81640625" bestFit="1" customWidth="1"/>
    <col min="15" max="15" width="5.81640625" bestFit="1" customWidth="1"/>
    <col min="16" max="16" width="3.81640625" bestFit="1" customWidth="1"/>
    <col min="17" max="17" width="2.81640625" bestFit="1" customWidth="1"/>
    <col min="18" max="18" width="3.81640625" bestFit="1" customWidth="1"/>
    <col min="19" max="19" width="5.6328125" bestFit="1" customWidth="1"/>
    <col min="20" max="20" width="2.81640625" bestFit="1" customWidth="1"/>
    <col min="21" max="22" width="3.81640625" bestFit="1" customWidth="1"/>
    <col min="23" max="23" width="5.54296875" bestFit="1" customWidth="1"/>
    <col min="24" max="24" width="10.7265625" bestFit="1" customWidth="1"/>
    <col min="25" max="25" width="3.81640625" bestFit="1" customWidth="1"/>
    <col min="26" max="26" width="8.54296875" bestFit="1" customWidth="1"/>
    <col min="27" max="27" width="5.54296875" bestFit="1" customWidth="1"/>
    <col min="28" max="28" width="8.453125" bestFit="1" customWidth="1"/>
    <col min="29" max="29" width="10.7265625" bestFit="1" customWidth="1"/>
  </cols>
  <sheetData>
    <row r="1" spans="1:9" x14ac:dyDescent="0.35">
      <c r="A1" t="s">
        <v>28</v>
      </c>
      <c r="B1" t="s">
        <v>1</v>
      </c>
      <c r="C1" t="s">
        <v>29</v>
      </c>
      <c r="D1" t="s">
        <v>2</v>
      </c>
      <c r="F1" s="2" t="s">
        <v>82</v>
      </c>
      <c r="H1" s="2" t="s">
        <v>28</v>
      </c>
    </row>
    <row r="2" spans="1:9" x14ac:dyDescent="0.35">
      <c r="A2" t="s">
        <v>30</v>
      </c>
      <c r="B2" t="s">
        <v>14</v>
      </c>
      <c r="C2">
        <v>2</v>
      </c>
      <c r="D2">
        <v>116</v>
      </c>
      <c r="F2" s="2" t="s">
        <v>1</v>
      </c>
      <c r="G2" s="2" t="s">
        <v>29</v>
      </c>
      <c r="H2" t="s">
        <v>31</v>
      </c>
      <c r="I2" t="s">
        <v>30</v>
      </c>
    </row>
    <row r="3" spans="1:9" x14ac:dyDescent="0.35">
      <c r="A3" t="s">
        <v>30</v>
      </c>
      <c r="B3" t="s">
        <v>12</v>
      </c>
      <c r="C3">
        <v>2</v>
      </c>
      <c r="D3">
        <v>78</v>
      </c>
      <c r="F3" t="s">
        <v>7</v>
      </c>
      <c r="G3">
        <v>1</v>
      </c>
      <c r="H3" s="3">
        <v>90</v>
      </c>
      <c r="I3" s="3">
        <v>91</v>
      </c>
    </row>
    <row r="4" spans="1:9" x14ac:dyDescent="0.35">
      <c r="A4" t="s">
        <v>30</v>
      </c>
      <c r="B4" t="s">
        <v>4</v>
      </c>
      <c r="C4">
        <v>2</v>
      </c>
      <c r="D4">
        <v>62</v>
      </c>
      <c r="F4" t="s">
        <v>7</v>
      </c>
      <c r="G4">
        <v>2</v>
      </c>
      <c r="H4" s="3">
        <v>103</v>
      </c>
      <c r="I4" s="3">
        <v>85</v>
      </c>
    </row>
    <row r="5" spans="1:9" x14ac:dyDescent="0.35">
      <c r="A5" t="s">
        <v>30</v>
      </c>
      <c r="B5" t="s">
        <v>7</v>
      </c>
      <c r="C5">
        <v>4</v>
      </c>
      <c r="D5">
        <v>164</v>
      </c>
      <c r="F5" t="s">
        <v>7</v>
      </c>
      <c r="G5">
        <v>3</v>
      </c>
      <c r="H5" s="3">
        <v>170</v>
      </c>
      <c r="I5" s="3">
        <v>154</v>
      </c>
    </row>
    <row r="6" spans="1:9" x14ac:dyDescent="0.35">
      <c r="A6" t="s">
        <v>30</v>
      </c>
      <c r="B6" t="s">
        <v>12</v>
      </c>
      <c r="C6">
        <v>1</v>
      </c>
      <c r="D6">
        <v>93</v>
      </c>
      <c r="F6" t="s">
        <v>7</v>
      </c>
      <c r="G6">
        <v>4</v>
      </c>
      <c r="H6" s="3">
        <v>293</v>
      </c>
      <c r="I6" s="3">
        <v>164</v>
      </c>
    </row>
    <row r="7" spans="1:9" x14ac:dyDescent="0.35">
      <c r="A7" t="s">
        <v>31</v>
      </c>
      <c r="B7" t="s">
        <v>12</v>
      </c>
      <c r="C7">
        <v>2</v>
      </c>
      <c r="D7">
        <v>36</v>
      </c>
      <c r="F7" t="s">
        <v>4</v>
      </c>
      <c r="G7">
        <v>1</v>
      </c>
      <c r="H7" s="3">
        <v>77</v>
      </c>
      <c r="I7" s="3">
        <v>126</v>
      </c>
    </row>
    <row r="8" spans="1:9" x14ac:dyDescent="0.35">
      <c r="A8" t="s">
        <v>30</v>
      </c>
      <c r="B8" t="s">
        <v>7</v>
      </c>
      <c r="C8">
        <v>3</v>
      </c>
      <c r="D8">
        <v>154</v>
      </c>
      <c r="F8" t="s">
        <v>4</v>
      </c>
      <c r="G8">
        <v>2</v>
      </c>
      <c r="H8" s="3">
        <v>84</v>
      </c>
      <c r="I8" s="3">
        <v>62</v>
      </c>
    </row>
    <row r="9" spans="1:9" x14ac:dyDescent="0.35">
      <c r="A9" t="s">
        <v>31</v>
      </c>
      <c r="B9" t="s">
        <v>4</v>
      </c>
      <c r="C9">
        <v>3</v>
      </c>
      <c r="D9">
        <v>224</v>
      </c>
      <c r="F9" t="s">
        <v>4</v>
      </c>
      <c r="G9">
        <v>3</v>
      </c>
      <c r="H9" s="3">
        <v>224</v>
      </c>
      <c r="I9" s="3">
        <v>393</v>
      </c>
    </row>
    <row r="10" spans="1:9" x14ac:dyDescent="0.35">
      <c r="A10" t="s">
        <v>30</v>
      </c>
      <c r="B10" t="s">
        <v>14</v>
      </c>
      <c r="C10">
        <v>1</v>
      </c>
      <c r="D10">
        <v>39</v>
      </c>
      <c r="F10" t="s">
        <v>4</v>
      </c>
      <c r="G10">
        <v>4</v>
      </c>
      <c r="H10" s="3">
        <v>188</v>
      </c>
      <c r="I10" s="3">
        <v>332</v>
      </c>
    </row>
    <row r="11" spans="1:9" x14ac:dyDescent="0.35">
      <c r="A11" t="s">
        <v>30</v>
      </c>
      <c r="B11" t="s">
        <v>7</v>
      </c>
      <c r="C11">
        <v>1</v>
      </c>
      <c r="D11">
        <v>91</v>
      </c>
      <c r="F11" t="s">
        <v>14</v>
      </c>
      <c r="G11">
        <v>1</v>
      </c>
      <c r="H11" s="3">
        <v>20</v>
      </c>
      <c r="I11" s="3">
        <v>39</v>
      </c>
    </row>
    <row r="12" spans="1:9" x14ac:dyDescent="0.35">
      <c r="A12" t="s">
        <v>31</v>
      </c>
      <c r="B12" t="s">
        <v>14</v>
      </c>
      <c r="C12">
        <v>1</v>
      </c>
      <c r="D12">
        <v>20</v>
      </c>
      <c r="F12" t="s">
        <v>14</v>
      </c>
      <c r="G12">
        <v>2</v>
      </c>
      <c r="H12" s="3">
        <v>131</v>
      </c>
      <c r="I12" s="3">
        <v>116</v>
      </c>
    </row>
    <row r="13" spans="1:9" x14ac:dyDescent="0.35">
      <c r="A13" t="s">
        <v>31</v>
      </c>
      <c r="B13" t="s">
        <v>7</v>
      </c>
      <c r="C13">
        <v>3</v>
      </c>
      <c r="D13">
        <v>170</v>
      </c>
      <c r="F13" t="s">
        <v>14</v>
      </c>
      <c r="G13">
        <v>3</v>
      </c>
      <c r="H13" s="3">
        <v>32</v>
      </c>
      <c r="I13" s="3">
        <v>46</v>
      </c>
    </row>
    <row r="14" spans="1:9" x14ac:dyDescent="0.35">
      <c r="A14" t="s">
        <v>31</v>
      </c>
      <c r="B14" t="s">
        <v>14</v>
      </c>
      <c r="C14">
        <v>4</v>
      </c>
      <c r="D14">
        <v>86</v>
      </c>
      <c r="F14" t="s">
        <v>14</v>
      </c>
      <c r="G14">
        <v>4</v>
      </c>
      <c r="H14" s="3">
        <v>86</v>
      </c>
      <c r="I14" s="3">
        <v>153</v>
      </c>
    </row>
    <row r="15" spans="1:9" x14ac:dyDescent="0.35">
      <c r="A15" t="s">
        <v>31</v>
      </c>
      <c r="B15" t="s">
        <v>12</v>
      </c>
      <c r="C15">
        <v>1</v>
      </c>
      <c r="D15">
        <v>104</v>
      </c>
      <c r="F15" t="s">
        <v>12</v>
      </c>
      <c r="G15">
        <v>1</v>
      </c>
      <c r="H15" s="3">
        <v>104</v>
      </c>
      <c r="I15" s="3">
        <v>93</v>
      </c>
    </row>
    <row r="16" spans="1:9" x14ac:dyDescent="0.35">
      <c r="A16" t="s">
        <v>31</v>
      </c>
      <c r="B16" t="s">
        <v>4</v>
      </c>
      <c r="C16">
        <v>1</v>
      </c>
      <c r="D16">
        <v>77</v>
      </c>
      <c r="F16" t="s">
        <v>12</v>
      </c>
      <c r="G16">
        <v>2</v>
      </c>
      <c r="H16" s="3">
        <v>36</v>
      </c>
      <c r="I16" s="3">
        <v>78</v>
      </c>
    </row>
    <row r="17" spans="1:9" x14ac:dyDescent="0.35">
      <c r="A17" t="s">
        <v>30</v>
      </c>
      <c r="B17" t="s">
        <v>14</v>
      </c>
      <c r="C17">
        <v>4</v>
      </c>
      <c r="D17">
        <v>153</v>
      </c>
      <c r="F17" t="s">
        <v>12</v>
      </c>
      <c r="G17">
        <v>3</v>
      </c>
      <c r="H17" s="3">
        <v>58</v>
      </c>
      <c r="I17" s="3">
        <v>109</v>
      </c>
    </row>
    <row r="18" spans="1:9" x14ac:dyDescent="0.35">
      <c r="A18" t="s">
        <v>30</v>
      </c>
      <c r="B18" t="s">
        <v>4</v>
      </c>
      <c r="C18">
        <v>3</v>
      </c>
      <c r="D18">
        <v>393</v>
      </c>
      <c r="F18" t="s">
        <v>12</v>
      </c>
      <c r="G18">
        <v>4</v>
      </c>
      <c r="H18" s="3">
        <v>154</v>
      </c>
      <c r="I18" s="3">
        <v>228</v>
      </c>
    </row>
    <row r="19" spans="1:9" x14ac:dyDescent="0.35">
      <c r="A19" t="s">
        <v>30</v>
      </c>
      <c r="B19" t="s">
        <v>12</v>
      </c>
      <c r="C19">
        <v>4</v>
      </c>
      <c r="D19">
        <v>228</v>
      </c>
      <c r="F19" t="s">
        <v>8</v>
      </c>
      <c r="G19">
        <v>1</v>
      </c>
      <c r="H19" s="3">
        <v>131</v>
      </c>
      <c r="I19" s="3">
        <v>160</v>
      </c>
    </row>
    <row r="20" spans="1:9" x14ac:dyDescent="0.35">
      <c r="A20" t="s">
        <v>30</v>
      </c>
      <c r="B20" t="s">
        <v>7</v>
      </c>
      <c r="C20">
        <v>2</v>
      </c>
      <c r="D20">
        <v>85</v>
      </c>
    </row>
    <row r="21" spans="1:9" x14ac:dyDescent="0.35">
      <c r="A21" t="s">
        <v>31</v>
      </c>
      <c r="B21" t="s">
        <v>14</v>
      </c>
      <c r="C21">
        <v>2</v>
      </c>
      <c r="D21">
        <v>131</v>
      </c>
    </row>
    <row r="22" spans="1:9" x14ac:dyDescent="0.35">
      <c r="A22" t="s">
        <v>30</v>
      </c>
      <c r="B22" t="s">
        <v>14</v>
      </c>
      <c r="C22">
        <v>3</v>
      </c>
      <c r="D22">
        <v>46</v>
      </c>
    </row>
    <row r="23" spans="1:9" x14ac:dyDescent="0.35">
      <c r="A23" t="s">
        <v>31</v>
      </c>
      <c r="B23" t="s">
        <v>14</v>
      </c>
      <c r="C23">
        <v>3</v>
      </c>
      <c r="D23">
        <v>32</v>
      </c>
    </row>
    <row r="24" spans="1:9" x14ac:dyDescent="0.35">
      <c r="A24" t="s">
        <v>31</v>
      </c>
      <c r="B24" t="s">
        <v>7</v>
      </c>
      <c r="C24">
        <v>4</v>
      </c>
      <c r="D24">
        <v>293</v>
      </c>
    </row>
    <row r="25" spans="1:9" x14ac:dyDescent="0.35">
      <c r="A25" t="s">
        <v>31</v>
      </c>
      <c r="B25" t="s">
        <v>7</v>
      </c>
      <c r="C25">
        <v>2</v>
      </c>
      <c r="D25">
        <v>103</v>
      </c>
    </row>
    <row r="26" spans="1:9" x14ac:dyDescent="0.35">
      <c r="A26" t="s">
        <v>30</v>
      </c>
      <c r="B26" t="s">
        <v>4</v>
      </c>
      <c r="C26">
        <v>4</v>
      </c>
      <c r="D26">
        <v>332</v>
      </c>
    </row>
    <row r="27" spans="1:9" x14ac:dyDescent="0.35">
      <c r="A27" t="s">
        <v>31</v>
      </c>
      <c r="B27" t="s">
        <v>4</v>
      </c>
      <c r="C27">
        <v>2</v>
      </c>
      <c r="D27">
        <v>84</v>
      </c>
    </row>
    <row r="28" spans="1:9" x14ac:dyDescent="0.35">
      <c r="A28" t="s">
        <v>30</v>
      </c>
      <c r="B28" t="s">
        <v>12</v>
      </c>
      <c r="C28">
        <v>3</v>
      </c>
      <c r="D28">
        <v>109</v>
      </c>
    </row>
    <row r="29" spans="1:9" x14ac:dyDescent="0.35">
      <c r="A29" t="s">
        <v>31</v>
      </c>
      <c r="B29" t="s">
        <v>12</v>
      </c>
      <c r="C29">
        <v>4</v>
      </c>
      <c r="D29">
        <v>154</v>
      </c>
    </row>
    <row r="30" spans="1:9" x14ac:dyDescent="0.35">
      <c r="A30" t="s">
        <v>31</v>
      </c>
      <c r="B30" t="s">
        <v>4</v>
      </c>
      <c r="C30">
        <v>4</v>
      </c>
      <c r="D30">
        <v>188</v>
      </c>
    </row>
    <row r="31" spans="1:9" x14ac:dyDescent="0.35">
      <c r="A31" t="s">
        <v>31</v>
      </c>
      <c r="B31" t="s">
        <v>7</v>
      </c>
      <c r="C31">
        <v>1</v>
      </c>
      <c r="D31">
        <v>90</v>
      </c>
    </row>
    <row r="32" spans="1:9" x14ac:dyDescent="0.35">
      <c r="A32" t="s">
        <v>30</v>
      </c>
      <c r="B32" t="s">
        <v>8</v>
      </c>
      <c r="C32">
        <v>1</v>
      </c>
      <c r="D32">
        <v>160</v>
      </c>
    </row>
    <row r="33" spans="1:4" x14ac:dyDescent="0.35">
      <c r="A33" t="s">
        <v>31</v>
      </c>
      <c r="B33" t="s">
        <v>8</v>
      </c>
      <c r="C33">
        <v>1</v>
      </c>
      <c r="D33">
        <v>131</v>
      </c>
    </row>
    <row r="34" spans="1:4" x14ac:dyDescent="0.35">
      <c r="A34" t="s">
        <v>30</v>
      </c>
      <c r="B34" t="s">
        <v>4</v>
      </c>
      <c r="C34">
        <v>1</v>
      </c>
      <c r="D34">
        <v>126</v>
      </c>
    </row>
    <row r="35" spans="1:4" x14ac:dyDescent="0.35">
      <c r="A35" t="s">
        <v>31</v>
      </c>
      <c r="B35" t="s">
        <v>12</v>
      </c>
      <c r="C35">
        <v>3</v>
      </c>
      <c r="D35">
        <v>58</v>
      </c>
    </row>
    <row r="37" spans="1:4" x14ac:dyDescent="0.35">
      <c r="A37" t="s">
        <v>91</v>
      </c>
    </row>
    <row r="38" spans="1:4" x14ac:dyDescent="0.35">
      <c r="A38" t="s">
        <v>92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0CAF-6BFB-4A39-9830-861D322C712A}">
  <sheetPr codeName="Sheet7"/>
  <dimension ref="A1:C24"/>
  <sheetViews>
    <sheetView workbookViewId="0">
      <selection activeCell="A21" sqref="A21"/>
    </sheetView>
  </sheetViews>
  <sheetFormatPr defaultRowHeight="14.5" x14ac:dyDescent="0.35"/>
  <sheetData>
    <row r="1" spans="1:3" x14ac:dyDescent="0.35">
      <c r="A1" t="s">
        <v>32</v>
      </c>
      <c r="B1" t="s">
        <v>74</v>
      </c>
      <c r="C1" t="s">
        <v>75</v>
      </c>
    </row>
    <row r="2" spans="1:3" x14ac:dyDescent="0.35">
      <c r="A2" t="s">
        <v>36</v>
      </c>
      <c r="B2">
        <v>5</v>
      </c>
      <c r="C2">
        <v>5</v>
      </c>
    </row>
    <row r="3" spans="1:3" x14ac:dyDescent="0.35">
      <c r="A3" t="s">
        <v>47</v>
      </c>
      <c r="B3">
        <v>7</v>
      </c>
      <c r="C3">
        <v>5</v>
      </c>
    </row>
    <row r="4" spans="1:3" x14ac:dyDescent="0.35">
      <c r="A4" t="s">
        <v>44</v>
      </c>
      <c r="B4">
        <v>8</v>
      </c>
      <c r="C4">
        <v>5</v>
      </c>
    </row>
    <row r="5" spans="1:3" x14ac:dyDescent="0.35">
      <c r="A5" t="s">
        <v>41</v>
      </c>
      <c r="B5">
        <v>5</v>
      </c>
      <c r="C5">
        <v>2</v>
      </c>
    </row>
    <row r="6" spans="1:3" x14ac:dyDescent="0.35">
      <c r="A6" t="s">
        <v>48</v>
      </c>
      <c r="B6">
        <v>4</v>
      </c>
      <c r="C6">
        <v>1</v>
      </c>
    </row>
    <row r="7" spans="1:3" x14ac:dyDescent="0.35">
      <c r="A7" t="s">
        <v>43</v>
      </c>
      <c r="B7">
        <v>8</v>
      </c>
      <c r="C7">
        <v>2</v>
      </c>
    </row>
    <row r="8" spans="1:3" x14ac:dyDescent="0.35">
      <c r="A8" t="s">
        <v>38</v>
      </c>
      <c r="B8">
        <v>9</v>
      </c>
      <c r="C8">
        <v>2</v>
      </c>
    </row>
    <row r="9" spans="1:3" x14ac:dyDescent="0.35">
      <c r="A9" t="s">
        <v>40</v>
      </c>
      <c r="B9">
        <v>7</v>
      </c>
      <c r="C9">
        <v>3</v>
      </c>
    </row>
    <row r="10" spans="1:3" x14ac:dyDescent="0.35">
      <c r="A10" t="s">
        <v>42</v>
      </c>
      <c r="B10">
        <v>17</v>
      </c>
      <c r="C10">
        <v>2</v>
      </c>
    </row>
    <row r="11" spans="1:3" x14ac:dyDescent="0.35">
      <c r="A11" t="s">
        <v>37</v>
      </c>
      <c r="B11">
        <v>6</v>
      </c>
      <c r="C11">
        <v>3</v>
      </c>
    </row>
    <row r="12" spans="1:3" x14ac:dyDescent="0.35">
      <c r="A12" t="s">
        <v>16</v>
      </c>
      <c r="B12">
        <v>19</v>
      </c>
      <c r="C12">
        <v>2</v>
      </c>
    </row>
    <row r="13" spans="1:3" x14ac:dyDescent="0.35">
      <c r="A13" t="s">
        <v>39</v>
      </c>
      <c r="B13">
        <v>0</v>
      </c>
      <c r="C13">
        <v>1</v>
      </c>
    </row>
    <row r="14" spans="1:3" x14ac:dyDescent="0.35">
      <c r="A14" t="s">
        <v>45</v>
      </c>
      <c r="B14">
        <v>9</v>
      </c>
      <c r="C14">
        <v>3</v>
      </c>
    </row>
    <row r="15" spans="1:3" x14ac:dyDescent="0.35">
      <c r="A15" t="s">
        <v>46</v>
      </c>
      <c r="B15">
        <v>10</v>
      </c>
      <c r="C15">
        <v>3</v>
      </c>
    </row>
    <row r="16" spans="1:3" x14ac:dyDescent="0.35">
      <c r="A16" t="s">
        <v>49</v>
      </c>
      <c r="B16">
        <v>8</v>
      </c>
      <c r="C16">
        <v>4</v>
      </c>
    </row>
    <row r="17" spans="1:3" x14ac:dyDescent="0.35">
      <c r="A17" t="s">
        <v>33</v>
      </c>
      <c r="B17">
        <v>10</v>
      </c>
      <c r="C17">
        <v>2</v>
      </c>
    </row>
    <row r="18" spans="1:3" x14ac:dyDescent="0.35">
      <c r="A18" t="s">
        <v>35</v>
      </c>
      <c r="B18">
        <v>5</v>
      </c>
      <c r="C18">
        <v>4</v>
      </c>
    </row>
    <row r="19" spans="1:3" x14ac:dyDescent="0.35">
      <c r="A19" t="s">
        <v>34</v>
      </c>
      <c r="B19">
        <v>9</v>
      </c>
      <c r="C19">
        <v>4</v>
      </c>
    </row>
    <row r="21" spans="1:3" x14ac:dyDescent="0.35">
      <c r="A21" t="s">
        <v>96</v>
      </c>
    </row>
    <row r="22" spans="1:3" x14ac:dyDescent="0.35">
      <c r="A22" t="s">
        <v>93</v>
      </c>
    </row>
    <row r="23" spans="1:3" x14ac:dyDescent="0.35">
      <c r="A23" t="s">
        <v>94</v>
      </c>
    </row>
    <row r="24" spans="1:3" x14ac:dyDescent="0.35">
      <c r="A24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7C533-3ECC-4E28-BC04-C6BF78622136}">
  <sheetPr codeName="Sheet3"/>
  <dimension ref="A1:C93"/>
  <sheetViews>
    <sheetView workbookViewId="0">
      <selection activeCell="E11" sqref="E11"/>
    </sheetView>
  </sheetViews>
  <sheetFormatPr defaultRowHeight="14.5" x14ac:dyDescent="0.35"/>
  <sheetData>
    <row r="1" spans="1:3" x14ac:dyDescent="0.35">
      <c r="A1" t="s">
        <v>32</v>
      </c>
      <c r="B1" t="s">
        <v>1</v>
      </c>
      <c r="C1" t="s">
        <v>2</v>
      </c>
    </row>
    <row r="2" spans="1:3" x14ac:dyDescent="0.35">
      <c r="A2" t="s">
        <v>33</v>
      </c>
      <c r="B2" t="s">
        <v>14</v>
      </c>
      <c r="C2">
        <v>19</v>
      </c>
    </row>
    <row r="3" spans="1:3" x14ac:dyDescent="0.35">
      <c r="A3" t="s">
        <v>34</v>
      </c>
      <c r="B3" t="s">
        <v>4</v>
      </c>
      <c r="C3">
        <v>61</v>
      </c>
    </row>
    <row r="4" spans="1:3" x14ac:dyDescent="0.35">
      <c r="A4" t="s">
        <v>35</v>
      </c>
      <c r="B4" t="s">
        <v>12</v>
      </c>
      <c r="C4">
        <v>60</v>
      </c>
    </row>
    <row r="5" spans="1:3" x14ac:dyDescent="0.35">
      <c r="A5" t="s">
        <v>35</v>
      </c>
      <c r="B5" t="s">
        <v>4</v>
      </c>
      <c r="C5">
        <v>107</v>
      </c>
    </row>
    <row r="6" spans="1:3" x14ac:dyDescent="0.35">
      <c r="A6" t="s">
        <v>36</v>
      </c>
      <c r="B6" t="s">
        <v>12</v>
      </c>
      <c r="C6">
        <v>43</v>
      </c>
    </row>
    <row r="7" spans="1:3" x14ac:dyDescent="0.35">
      <c r="A7" t="s">
        <v>16</v>
      </c>
      <c r="B7" t="s">
        <v>8</v>
      </c>
      <c r="C7">
        <v>2</v>
      </c>
    </row>
    <row r="8" spans="1:3" x14ac:dyDescent="0.35">
      <c r="A8" t="s">
        <v>37</v>
      </c>
      <c r="B8" t="s">
        <v>12</v>
      </c>
      <c r="C8">
        <v>52</v>
      </c>
    </row>
    <row r="9" spans="1:3" x14ac:dyDescent="0.35">
      <c r="A9" t="s">
        <v>38</v>
      </c>
      <c r="B9" t="s">
        <v>8</v>
      </c>
      <c r="C9">
        <v>10</v>
      </c>
    </row>
    <row r="10" spans="1:3" x14ac:dyDescent="0.35">
      <c r="A10" t="s">
        <v>39</v>
      </c>
      <c r="B10" t="s">
        <v>12</v>
      </c>
      <c r="C10">
        <v>28</v>
      </c>
    </row>
    <row r="11" spans="1:3" x14ac:dyDescent="0.35">
      <c r="A11" t="s">
        <v>37</v>
      </c>
      <c r="B11" t="s">
        <v>8</v>
      </c>
      <c r="C11">
        <v>38</v>
      </c>
    </row>
    <row r="12" spans="1:3" x14ac:dyDescent="0.35">
      <c r="A12" t="s">
        <v>38</v>
      </c>
      <c r="B12" t="s">
        <v>12</v>
      </c>
      <c r="C12">
        <v>47</v>
      </c>
    </row>
    <row r="13" spans="1:3" x14ac:dyDescent="0.35">
      <c r="A13" t="s">
        <v>40</v>
      </c>
      <c r="B13" t="s">
        <v>4</v>
      </c>
      <c r="C13">
        <v>56</v>
      </c>
    </row>
    <row r="14" spans="1:3" x14ac:dyDescent="0.35">
      <c r="A14" t="s">
        <v>41</v>
      </c>
      <c r="B14" t="s">
        <v>7</v>
      </c>
      <c r="C14">
        <v>73</v>
      </c>
    </row>
    <row r="15" spans="1:3" x14ac:dyDescent="0.35">
      <c r="A15" t="s">
        <v>42</v>
      </c>
      <c r="B15" t="s">
        <v>8</v>
      </c>
      <c r="C15">
        <v>11</v>
      </c>
    </row>
    <row r="16" spans="1:3" x14ac:dyDescent="0.35">
      <c r="A16" t="s">
        <v>43</v>
      </c>
      <c r="B16" t="s">
        <v>14</v>
      </c>
      <c r="C16">
        <v>24</v>
      </c>
    </row>
    <row r="17" spans="1:3" x14ac:dyDescent="0.35">
      <c r="A17" t="s">
        <v>42</v>
      </c>
      <c r="B17" t="s">
        <v>4</v>
      </c>
      <c r="C17">
        <v>67</v>
      </c>
    </row>
    <row r="18" spans="1:3" x14ac:dyDescent="0.35">
      <c r="A18" t="s">
        <v>44</v>
      </c>
      <c r="B18" t="s">
        <v>7</v>
      </c>
      <c r="C18">
        <v>111</v>
      </c>
    </row>
    <row r="19" spans="1:3" x14ac:dyDescent="0.35">
      <c r="A19" t="s">
        <v>45</v>
      </c>
      <c r="B19" t="s">
        <v>4</v>
      </c>
      <c r="C19">
        <v>60</v>
      </c>
    </row>
    <row r="20" spans="1:3" x14ac:dyDescent="0.35">
      <c r="A20" t="s">
        <v>16</v>
      </c>
      <c r="B20" t="s">
        <v>14</v>
      </c>
      <c r="C20">
        <v>18</v>
      </c>
    </row>
    <row r="21" spans="1:3" x14ac:dyDescent="0.35">
      <c r="A21" t="s">
        <v>35</v>
      </c>
      <c r="B21" t="s">
        <v>8</v>
      </c>
      <c r="C21">
        <v>34</v>
      </c>
    </row>
    <row r="22" spans="1:3" x14ac:dyDescent="0.35">
      <c r="A22" t="s">
        <v>36</v>
      </c>
      <c r="B22" t="s">
        <v>4</v>
      </c>
      <c r="C22">
        <v>55</v>
      </c>
    </row>
    <row r="23" spans="1:3" x14ac:dyDescent="0.35">
      <c r="A23" t="s">
        <v>33</v>
      </c>
      <c r="B23" t="s">
        <v>8</v>
      </c>
      <c r="C23">
        <v>10</v>
      </c>
    </row>
    <row r="24" spans="1:3" x14ac:dyDescent="0.35">
      <c r="A24" t="s">
        <v>34</v>
      </c>
      <c r="B24" t="s">
        <v>7</v>
      </c>
      <c r="C24">
        <v>90</v>
      </c>
    </row>
    <row r="25" spans="1:3" x14ac:dyDescent="0.35">
      <c r="A25" t="s">
        <v>27</v>
      </c>
      <c r="B25" t="s">
        <v>7</v>
      </c>
      <c r="C25">
        <v>28</v>
      </c>
    </row>
    <row r="26" spans="1:3" x14ac:dyDescent="0.35">
      <c r="A26" t="s">
        <v>46</v>
      </c>
      <c r="B26" t="s">
        <v>7</v>
      </c>
      <c r="C26">
        <v>41</v>
      </c>
    </row>
    <row r="27" spans="1:3" x14ac:dyDescent="0.35">
      <c r="A27" t="s">
        <v>47</v>
      </c>
      <c r="B27" t="s">
        <v>14</v>
      </c>
      <c r="C27">
        <v>22</v>
      </c>
    </row>
    <row r="28" spans="1:3" x14ac:dyDescent="0.35">
      <c r="A28" t="s">
        <v>35</v>
      </c>
      <c r="B28" t="s">
        <v>7</v>
      </c>
      <c r="C28">
        <v>54</v>
      </c>
    </row>
    <row r="29" spans="1:3" x14ac:dyDescent="0.35">
      <c r="A29" t="s">
        <v>37</v>
      </c>
      <c r="B29" t="s">
        <v>4</v>
      </c>
      <c r="C29">
        <v>84</v>
      </c>
    </row>
    <row r="30" spans="1:3" x14ac:dyDescent="0.35">
      <c r="A30" t="s">
        <v>46</v>
      </c>
      <c r="B30" t="s">
        <v>12</v>
      </c>
      <c r="C30">
        <v>32</v>
      </c>
    </row>
    <row r="31" spans="1:3" x14ac:dyDescent="0.35">
      <c r="A31" t="s">
        <v>33</v>
      </c>
      <c r="B31" t="s">
        <v>4</v>
      </c>
      <c r="C31">
        <v>54</v>
      </c>
    </row>
    <row r="32" spans="1:3" x14ac:dyDescent="0.35">
      <c r="A32" t="s">
        <v>48</v>
      </c>
      <c r="B32" t="s">
        <v>8</v>
      </c>
      <c r="C32">
        <v>10</v>
      </c>
    </row>
    <row r="33" spans="1:3" x14ac:dyDescent="0.35">
      <c r="A33" t="s">
        <v>45</v>
      </c>
      <c r="B33" t="s">
        <v>7</v>
      </c>
      <c r="C33">
        <v>35</v>
      </c>
    </row>
    <row r="34" spans="1:3" x14ac:dyDescent="0.35">
      <c r="A34" t="s">
        <v>41</v>
      </c>
      <c r="B34" t="s">
        <v>14</v>
      </c>
      <c r="C34">
        <v>52</v>
      </c>
    </row>
    <row r="35" spans="1:3" x14ac:dyDescent="0.35">
      <c r="A35" t="s">
        <v>44</v>
      </c>
      <c r="B35" t="s">
        <v>8</v>
      </c>
      <c r="C35">
        <v>26</v>
      </c>
    </row>
    <row r="36" spans="1:3" x14ac:dyDescent="0.35">
      <c r="A36" t="s">
        <v>39</v>
      </c>
      <c r="B36" t="s">
        <v>7</v>
      </c>
      <c r="C36">
        <v>99</v>
      </c>
    </row>
    <row r="37" spans="1:3" x14ac:dyDescent="0.35">
      <c r="A37" t="s">
        <v>27</v>
      </c>
      <c r="B37" t="s">
        <v>4</v>
      </c>
      <c r="C37">
        <v>5</v>
      </c>
    </row>
    <row r="38" spans="1:3" x14ac:dyDescent="0.35">
      <c r="A38" t="s">
        <v>41</v>
      </c>
      <c r="B38" t="s">
        <v>8</v>
      </c>
      <c r="C38">
        <v>11</v>
      </c>
    </row>
    <row r="39" spans="1:3" x14ac:dyDescent="0.35">
      <c r="A39" t="s">
        <v>47</v>
      </c>
      <c r="B39" t="s">
        <v>4</v>
      </c>
      <c r="C39">
        <v>108</v>
      </c>
    </row>
    <row r="40" spans="1:3" x14ac:dyDescent="0.35">
      <c r="A40" t="s">
        <v>34</v>
      </c>
      <c r="B40" t="s">
        <v>14</v>
      </c>
      <c r="C40">
        <v>25</v>
      </c>
    </row>
    <row r="41" spans="1:3" x14ac:dyDescent="0.35">
      <c r="A41" t="s">
        <v>45</v>
      </c>
      <c r="B41" t="s">
        <v>14</v>
      </c>
      <c r="C41">
        <v>15</v>
      </c>
    </row>
    <row r="42" spans="1:3" x14ac:dyDescent="0.35">
      <c r="A42" t="s">
        <v>49</v>
      </c>
      <c r="B42" t="s">
        <v>8</v>
      </c>
      <c r="C42">
        <v>11</v>
      </c>
    </row>
    <row r="43" spans="1:3" x14ac:dyDescent="0.35">
      <c r="A43" t="s">
        <v>39</v>
      </c>
      <c r="B43" t="s">
        <v>8</v>
      </c>
      <c r="C43">
        <v>10</v>
      </c>
    </row>
    <row r="44" spans="1:3" x14ac:dyDescent="0.35">
      <c r="A44" t="s">
        <v>37</v>
      </c>
      <c r="B44" t="s">
        <v>14</v>
      </c>
      <c r="C44">
        <v>18</v>
      </c>
    </row>
    <row r="45" spans="1:3" x14ac:dyDescent="0.35">
      <c r="A45" t="s">
        <v>49</v>
      </c>
      <c r="B45" t="s">
        <v>14</v>
      </c>
      <c r="C45">
        <v>72</v>
      </c>
    </row>
    <row r="46" spans="1:3" x14ac:dyDescent="0.35">
      <c r="A46" t="s">
        <v>37</v>
      </c>
      <c r="B46" t="s">
        <v>7</v>
      </c>
      <c r="C46">
        <v>48</v>
      </c>
    </row>
    <row r="47" spans="1:3" x14ac:dyDescent="0.35">
      <c r="A47" t="s">
        <v>40</v>
      </c>
      <c r="B47" t="s">
        <v>14</v>
      </c>
      <c r="C47">
        <v>18</v>
      </c>
    </row>
    <row r="48" spans="1:3" x14ac:dyDescent="0.35">
      <c r="A48" t="s">
        <v>42</v>
      </c>
      <c r="B48" t="s">
        <v>14</v>
      </c>
      <c r="C48">
        <v>47</v>
      </c>
    </row>
    <row r="49" spans="1:3" x14ac:dyDescent="0.35">
      <c r="A49" t="s">
        <v>34</v>
      </c>
      <c r="B49" t="s">
        <v>8</v>
      </c>
      <c r="C49">
        <v>24</v>
      </c>
    </row>
    <row r="50" spans="1:3" x14ac:dyDescent="0.35">
      <c r="A50" t="s">
        <v>48</v>
      </c>
      <c r="B50" t="s">
        <v>7</v>
      </c>
      <c r="C50">
        <v>57</v>
      </c>
    </row>
    <row r="51" spans="1:3" x14ac:dyDescent="0.35">
      <c r="A51" t="s">
        <v>43</v>
      </c>
      <c r="B51" t="s">
        <v>4</v>
      </c>
      <c r="C51">
        <v>76</v>
      </c>
    </row>
    <row r="52" spans="1:3" x14ac:dyDescent="0.35">
      <c r="A52" t="s">
        <v>36</v>
      </c>
      <c r="B52" t="s">
        <v>14</v>
      </c>
      <c r="C52">
        <v>15</v>
      </c>
    </row>
    <row r="53" spans="1:3" x14ac:dyDescent="0.35">
      <c r="A53" t="s">
        <v>48</v>
      </c>
      <c r="B53" t="s">
        <v>14</v>
      </c>
      <c r="C53">
        <v>16</v>
      </c>
    </row>
    <row r="54" spans="1:3" x14ac:dyDescent="0.35">
      <c r="A54" t="s">
        <v>36</v>
      </c>
      <c r="B54" t="s">
        <v>8</v>
      </c>
      <c r="C54">
        <v>12</v>
      </c>
    </row>
    <row r="55" spans="1:3" x14ac:dyDescent="0.35">
      <c r="A55" t="s">
        <v>16</v>
      </c>
      <c r="B55" t="s">
        <v>4</v>
      </c>
      <c r="C55">
        <v>15</v>
      </c>
    </row>
    <row r="56" spans="1:3" x14ac:dyDescent="0.35">
      <c r="A56" t="s">
        <v>46</v>
      </c>
      <c r="B56" t="s">
        <v>14</v>
      </c>
      <c r="C56">
        <v>20</v>
      </c>
    </row>
    <row r="57" spans="1:3" x14ac:dyDescent="0.35">
      <c r="A57" t="s">
        <v>34</v>
      </c>
      <c r="B57" t="s">
        <v>12</v>
      </c>
      <c r="C57">
        <v>74</v>
      </c>
    </row>
    <row r="58" spans="1:3" x14ac:dyDescent="0.35">
      <c r="A58" t="s">
        <v>44</v>
      </c>
      <c r="B58" t="s">
        <v>12</v>
      </c>
      <c r="C58">
        <v>119</v>
      </c>
    </row>
    <row r="59" spans="1:3" x14ac:dyDescent="0.35">
      <c r="A59" t="s">
        <v>38</v>
      </c>
      <c r="B59" t="s">
        <v>4</v>
      </c>
      <c r="C59">
        <v>87</v>
      </c>
    </row>
    <row r="60" spans="1:3" x14ac:dyDescent="0.35">
      <c r="A60" t="s">
        <v>47</v>
      </c>
      <c r="B60" t="s">
        <v>7</v>
      </c>
      <c r="C60">
        <v>82</v>
      </c>
    </row>
    <row r="61" spans="1:3" x14ac:dyDescent="0.35">
      <c r="A61" t="s">
        <v>47</v>
      </c>
      <c r="B61" t="s">
        <v>12</v>
      </c>
      <c r="C61">
        <v>60</v>
      </c>
    </row>
    <row r="62" spans="1:3" x14ac:dyDescent="0.35">
      <c r="A62" t="s">
        <v>46</v>
      </c>
      <c r="B62" t="s">
        <v>4</v>
      </c>
      <c r="C62">
        <v>74</v>
      </c>
    </row>
    <row r="63" spans="1:3" x14ac:dyDescent="0.35">
      <c r="A63" t="s">
        <v>40</v>
      </c>
      <c r="B63" t="s">
        <v>8</v>
      </c>
      <c r="C63">
        <v>10</v>
      </c>
    </row>
    <row r="64" spans="1:3" x14ac:dyDescent="0.35">
      <c r="A64" t="s">
        <v>43</v>
      </c>
      <c r="B64" t="s">
        <v>7</v>
      </c>
      <c r="C64">
        <v>54</v>
      </c>
    </row>
    <row r="65" spans="1:3" x14ac:dyDescent="0.35">
      <c r="A65" t="s">
        <v>45</v>
      </c>
      <c r="B65" t="s">
        <v>8</v>
      </c>
      <c r="C65">
        <v>10</v>
      </c>
    </row>
    <row r="66" spans="1:3" x14ac:dyDescent="0.35">
      <c r="A66" t="s">
        <v>39</v>
      </c>
      <c r="B66" t="s">
        <v>4</v>
      </c>
      <c r="C66">
        <v>67</v>
      </c>
    </row>
    <row r="67" spans="1:3" x14ac:dyDescent="0.35">
      <c r="A67" t="s">
        <v>49</v>
      </c>
      <c r="B67" t="s">
        <v>4</v>
      </c>
      <c r="C67">
        <v>98</v>
      </c>
    </row>
    <row r="68" spans="1:3" x14ac:dyDescent="0.35">
      <c r="A68" t="s">
        <v>33</v>
      </c>
      <c r="B68" t="s">
        <v>12</v>
      </c>
      <c r="C68">
        <v>27</v>
      </c>
    </row>
    <row r="69" spans="1:3" x14ac:dyDescent="0.35">
      <c r="A69" t="s">
        <v>16</v>
      </c>
      <c r="B69" t="s">
        <v>12</v>
      </c>
      <c r="C69">
        <v>16</v>
      </c>
    </row>
    <row r="70" spans="1:3" x14ac:dyDescent="0.35">
      <c r="A70" t="s">
        <v>45</v>
      </c>
      <c r="B70" t="s">
        <v>12</v>
      </c>
      <c r="C70">
        <v>25</v>
      </c>
    </row>
    <row r="71" spans="1:3" x14ac:dyDescent="0.35">
      <c r="A71" t="s">
        <v>46</v>
      </c>
      <c r="B71" t="s">
        <v>8</v>
      </c>
      <c r="C71">
        <v>10</v>
      </c>
    </row>
    <row r="72" spans="1:3" x14ac:dyDescent="0.35">
      <c r="A72" t="s">
        <v>44</v>
      </c>
      <c r="B72" t="s">
        <v>4</v>
      </c>
      <c r="C72">
        <v>229</v>
      </c>
    </row>
    <row r="73" spans="1:3" x14ac:dyDescent="0.35">
      <c r="A73" t="s">
        <v>44</v>
      </c>
      <c r="B73" t="s">
        <v>14</v>
      </c>
      <c r="C73">
        <v>99</v>
      </c>
    </row>
    <row r="74" spans="1:3" x14ac:dyDescent="0.35">
      <c r="A74" t="s">
        <v>49</v>
      </c>
      <c r="B74" t="s">
        <v>7</v>
      </c>
      <c r="C74">
        <v>76</v>
      </c>
    </row>
    <row r="75" spans="1:3" x14ac:dyDescent="0.35">
      <c r="A75" t="s">
        <v>48</v>
      </c>
      <c r="B75" t="s">
        <v>12</v>
      </c>
      <c r="C75">
        <v>32</v>
      </c>
    </row>
    <row r="76" spans="1:3" x14ac:dyDescent="0.35">
      <c r="A76" t="s">
        <v>42</v>
      </c>
      <c r="B76" t="s">
        <v>7</v>
      </c>
      <c r="C76">
        <v>60</v>
      </c>
    </row>
    <row r="77" spans="1:3" x14ac:dyDescent="0.35">
      <c r="A77" t="s">
        <v>38</v>
      </c>
      <c r="B77" t="s">
        <v>14</v>
      </c>
      <c r="C77">
        <v>27</v>
      </c>
    </row>
    <row r="78" spans="1:3" x14ac:dyDescent="0.35">
      <c r="A78" t="s">
        <v>42</v>
      </c>
      <c r="B78" t="s">
        <v>12</v>
      </c>
      <c r="C78">
        <v>51</v>
      </c>
    </row>
    <row r="79" spans="1:3" x14ac:dyDescent="0.35">
      <c r="A79" t="s">
        <v>35</v>
      </c>
      <c r="B79" t="s">
        <v>14</v>
      </c>
      <c r="C79">
        <v>83</v>
      </c>
    </row>
    <row r="80" spans="1:3" x14ac:dyDescent="0.35">
      <c r="A80" t="s">
        <v>33</v>
      </c>
      <c r="B80" t="s">
        <v>7</v>
      </c>
      <c r="C80">
        <v>35</v>
      </c>
    </row>
    <row r="81" spans="1:3" x14ac:dyDescent="0.35">
      <c r="A81" t="s">
        <v>36</v>
      </c>
      <c r="B81" t="s">
        <v>7</v>
      </c>
      <c r="C81">
        <v>40</v>
      </c>
    </row>
    <row r="82" spans="1:3" x14ac:dyDescent="0.35">
      <c r="A82" t="s">
        <v>40</v>
      </c>
      <c r="B82" t="s">
        <v>12</v>
      </c>
      <c r="C82">
        <v>24</v>
      </c>
    </row>
    <row r="83" spans="1:3" x14ac:dyDescent="0.35">
      <c r="A83" t="s">
        <v>41</v>
      </c>
      <c r="B83" t="s">
        <v>4</v>
      </c>
      <c r="C83">
        <v>110</v>
      </c>
    </row>
    <row r="84" spans="1:3" x14ac:dyDescent="0.35">
      <c r="A84" t="s">
        <v>49</v>
      </c>
      <c r="B84" t="s">
        <v>12</v>
      </c>
      <c r="C84">
        <v>64</v>
      </c>
    </row>
    <row r="85" spans="1:3" x14ac:dyDescent="0.35">
      <c r="A85" t="s">
        <v>38</v>
      </c>
      <c r="B85" t="s">
        <v>7</v>
      </c>
      <c r="C85">
        <v>90</v>
      </c>
    </row>
    <row r="86" spans="1:3" x14ac:dyDescent="0.35">
      <c r="A86" t="s">
        <v>48</v>
      </c>
      <c r="B86" t="s">
        <v>4</v>
      </c>
      <c r="C86">
        <v>73</v>
      </c>
    </row>
    <row r="87" spans="1:3" x14ac:dyDescent="0.35">
      <c r="A87" t="s">
        <v>40</v>
      </c>
      <c r="B87" t="s">
        <v>7</v>
      </c>
      <c r="C87">
        <v>42</v>
      </c>
    </row>
    <row r="88" spans="1:3" x14ac:dyDescent="0.35">
      <c r="A88" t="s">
        <v>16</v>
      </c>
      <c r="B88" t="s">
        <v>7</v>
      </c>
      <c r="C88">
        <v>35</v>
      </c>
    </row>
    <row r="89" spans="1:3" x14ac:dyDescent="0.35">
      <c r="A89" t="s">
        <v>39</v>
      </c>
      <c r="B89" t="s">
        <v>14</v>
      </c>
      <c r="C89">
        <v>33</v>
      </c>
    </row>
    <row r="90" spans="1:3" x14ac:dyDescent="0.35">
      <c r="A90" t="s">
        <v>41</v>
      </c>
      <c r="B90" t="s">
        <v>12</v>
      </c>
      <c r="C90">
        <v>60</v>
      </c>
    </row>
    <row r="91" spans="1:3" x14ac:dyDescent="0.35">
      <c r="A91" t="s">
        <v>43</v>
      </c>
      <c r="B91" t="s">
        <v>8</v>
      </c>
      <c r="C91">
        <v>17</v>
      </c>
    </row>
    <row r="92" spans="1:3" x14ac:dyDescent="0.35">
      <c r="A92" t="s">
        <v>43</v>
      </c>
      <c r="B92" t="s">
        <v>12</v>
      </c>
      <c r="C92">
        <v>46</v>
      </c>
    </row>
    <row r="93" spans="1:3" x14ac:dyDescent="0.35">
      <c r="A93" t="s">
        <v>47</v>
      </c>
      <c r="B93" t="s">
        <v>8</v>
      </c>
      <c r="C93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9A2136-3894-4914-B5E7-F3E1F3390ED9}"/>
</file>

<file path=customXml/itemProps2.xml><?xml version="1.0" encoding="utf-8"?>
<ds:datastoreItem xmlns:ds="http://schemas.openxmlformats.org/officeDocument/2006/customXml" ds:itemID="{0F976E0B-EEB2-4B4D-979C-5FC63DE5708E}"/>
</file>

<file path=customXml/itemProps3.xml><?xml version="1.0" encoding="utf-8"?>
<ds:datastoreItem xmlns:ds="http://schemas.openxmlformats.org/officeDocument/2006/customXml" ds:itemID="{064301FF-3AAA-404C-A59C-09C042CA58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Slide 6</vt:lpstr>
      <vt:lpstr>Viz 5</vt:lpstr>
      <vt:lpstr>Viz 6</vt:lpstr>
      <vt:lpstr>Viz 1</vt:lpstr>
      <vt:lpstr>Pivottable</vt:lpstr>
      <vt:lpstr>Viz 2</vt:lpstr>
      <vt:lpstr>Viz 7</vt:lpstr>
      <vt:lpstr>Viz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 Deep Singh</dc:creator>
  <cp:lastModifiedBy>Sudhanshu Aggarwal</cp:lastModifiedBy>
  <dcterms:created xsi:type="dcterms:W3CDTF">2020-10-06T09:38:51Z</dcterms:created>
  <dcterms:modified xsi:type="dcterms:W3CDTF">2020-10-08T10:44:12Z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</Properties>
</file>