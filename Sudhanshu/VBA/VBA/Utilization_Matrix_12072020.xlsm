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ownloads\MARs\KIND\Utilization\"/>
    </mc:Choice>
  </mc:AlternateContent>
  <xr:revisionPtr revIDLastSave="0" documentId="13_ncr:1_{244E0CB6-9984-4AB7-B88A-D62613AED628}" xr6:coauthVersionLast="45" xr6:coauthVersionMax="45" xr10:uidLastSave="{00000000-0000-0000-0000-000000000000}"/>
  <bookViews>
    <workbookView xWindow="-110" yWindow="-110" windowWidth="19420" windowHeight="11020" firstSheet="1" activeTab="2" xr2:uid="{CF2B098A-60F9-41C9-865C-0CCD0BD33821}"/>
  </bookViews>
  <sheets>
    <sheet name="Team Utilization" sheetId="6" r:id="rId1"/>
    <sheet name="Deliverable" sheetId="1" r:id="rId2"/>
    <sheet name="Deliverable (2)" sheetId="9" r:id="rId3"/>
    <sheet name="OldDeliverables" sheetId="8" r:id="rId4"/>
    <sheet name="AdHoc" sheetId="2" r:id="rId5"/>
    <sheet name="NewWorkstreams" sheetId="7" r:id="rId6"/>
    <sheet name="Technical Issues" sheetId="5" r:id="rId7"/>
    <sheet name="Internal Connects" sheetId="4" r:id="rId8"/>
  </sheets>
  <definedNames>
    <definedName name="_xlnm._FilterDatabase" localSheetId="1" hidden="1">Deliverable!$B$2:$E$155</definedName>
    <definedName name="_xlnm._FilterDatabase" localSheetId="2" hidden="1">'Deliverable (2)'!$B$2:$E$155</definedName>
    <definedName name="_xlnm._FilterDatabase" localSheetId="7" hidden="1">'Internal Connects'!$B$2:$F$12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9" l="1"/>
  <c r="F20" i="4" l="1"/>
  <c r="F19" i="4"/>
  <c r="F18" i="4"/>
  <c r="F17" i="4"/>
  <c r="F16" i="4"/>
  <c r="F15" i="4"/>
  <c r="F14" i="4"/>
  <c r="F13" i="4"/>
  <c r="K2" i="1" l="1"/>
  <c r="F4" i="6" l="1"/>
  <c r="K4" i="6" l="1"/>
  <c r="K3" i="6" l="1"/>
  <c r="F3" i="5"/>
  <c r="F11" i="4"/>
  <c r="F10" i="4"/>
  <c r="F8" i="4"/>
  <c r="F9" i="4"/>
  <c r="F7" i="4"/>
  <c r="F6" i="4"/>
  <c r="F3" i="4"/>
  <c r="F5" i="4"/>
  <c r="F4" i="4"/>
  <c r="F12" i="4"/>
  <c r="K2" i="6" s="1"/>
  <c r="F5" i="6"/>
  <c r="H5" i="6" s="1"/>
  <c r="H4" i="6"/>
  <c r="F6" i="6"/>
  <c r="C5" i="6"/>
  <c r="B3" i="4"/>
  <c r="F3" i="6" l="1"/>
  <c r="H3" i="6" s="1"/>
  <c r="H6" i="6" s="1"/>
  <c r="C6" i="6" s="1"/>
  <c r="C7" i="6" s="1"/>
</calcChain>
</file>

<file path=xl/sharedStrings.xml><?xml version="1.0" encoding="utf-8"?>
<sst xmlns="http://schemas.openxmlformats.org/spreadsheetml/2006/main" count="502" uniqueCount="161">
  <si>
    <t>Total Billed Resources</t>
  </si>
  <si>
    <t>#Deliverables</t>
  </si>
  <si>
    <t>Average Time Per Deliverable</t>
  </si>
  <si>
    <t>Total Hours</t>
  </si>
  <si>
    <t>Time Spent on Internal Connects</t>
  </si>
  <si>
    <t>Working Hours/Day</t>
  </si>
  <si>
    <t>Regular</t>
  </si>
  <si>
    <t>Delay due to Technical Issues</t>
  </si>
  <si>
    <t>Working Days/Month</t>
  </si>
  <si>
    <t>AdHocs</t>
  </si>
  <si>
    <t>Project Management</t>
  </si>
  <si>
    <t>Total Working Hours for Team</t>
  </si>
  <si>
    <t>New</t>
  </si>
  <si>
    <t>Time Utilized by Team</t>
  </si>
  <si>
    <t>Deliverables</t>
  </si>
  <si>
    <t>NA</t>
  </si>
  <si>
    <t>Utilization</t>
  </si>
  <si>
    <t>Date</t>
  </si>
  <si>
    <t>Deliverable/Tasks</t>
  </si>
  <si>
    <t>Count</t>
  </si>
  <si>
    <t>Type</t>
  </si>
  <si>
    <t>CutOffDate</t>
  </si>
  <si>
    <t>Unsegment SKUs in different markets</t>
  </si>
  <si>
    <t>AdHoc</t>
  </si>
  <si>
    <t>FR, NL &amp; KSA Dashboard Refresh</t>
  </si>
  <si>
    <t>Weekly Finance Refresh - Data Unavailable</t>
  </si>
  <si>
    <t>Discovery of AU Folder in Datalake</t>
  </si>
  <si>
    <t>Weekly Tracker Data Update</t>
  </si>
  <si>
    <t>Sweden Data Path Unavailable</t>
  </si>
  <si>
    <t>Additonal Users</t>
  </si>
  <si>
    <t>NSV for ROS</t>
  </si>
  <si>
    <t>Australia EDA</t>
  </si>
  <si>
    <t>Market Notification for SFF Market</t>
  </si>
  <si>
    <t xml:space="preserve">KSA with P9 </t>
  </si>
  <si>
    <t>BS,SE &amp; ES Manual QC Report</t>
  </si>
  <si>
    <t>BE &amp; ES Dashboard Refresh</t>
  </si>
  <si>
    <t>DK &amp; UAE Dashboard Refresh</t>
  </si>
  <si>
    <t>ES - Reclassification of PackType</t>
  </si>
  <si>
    <t>Duplicate EANs in FR, DE &amp; NL</t>
  </si>
  <si>
    <t>PackType Tracker</t>
  </si>
  <si>
    <t>UAE - Item List</t>
  </si>
  <si>
    <t>WD ROS - New Design MockUp</t>
  </si>
  <si>
    <t>FR - Item Distribution</t>
  </si>
  <si>
    <t>Structural Changes in IE</t>
  </si>
  <si>
    <t>Market Notification for DE, HK, BE &amp; SE</t>
  </si>
  <si>
    <t>IE - Mapping Update</t>
  </si>
  <si>
    <t>Inclusion of New Pack Type - Minis</t>
  </si>
  <si>
    <t>MBR Connect - Deck, MoM &amp; mu3D</t>
  </si>
  <si>
    <t>DE - ROS Split by platform</t>
  </si>
  <si>
    <t>Duplicate EANs in DE</t>
  </si>
  <si>
    <t>PackType Proposal</t>
  </si>
  <si>
    <t>IE - Raw Data</t>
  </si>
  <si>
    <t>ES - Raw Data</t>
  </si>
  <si>
    <t>Market Notification for Countries</t>
  </si>
  <si>
    <t>UAE - Market Dashboard</t>
  </si>
  <si>
    <t>Revised - NSV for ROS</t>
  </si>
  <si>
    <t>DK - Raw Data</t>
  </si>
  <si>
    <t>BiWeekly Connect - EOD Updates</t>
  </si>
  <si>
    <t>Data Pull</t>
  </si>
  <si>
    <t>DK - Manual QC Report</t>
  </si>
  <si>
    <t>China Data Unavailable</t>
  </si>
  <si>
    <t>China Refresh Process</t>
  </si>
  <si>
    <t>DK - SKU Coding</t>
  </si>
  <si>
    <t>ROS/CWDP Revised Targets</t>
  </si>
  <si>
    <t xml:space="preserve">Finance Data </t>
  </si>
  <si>
    <t>UAE/KSA ROS &amp; WD info by Platform</t>
  </si>
  <si>
    <t>FR Dashboard Refresh</t>
  </si>
  <si>
    <t>Excel Technical Help</t>
  </si>
  <si>
    <t>FR - Data Check</t>
  </si>
  <si>
    <t>ES - Data Check</t>
  </si>
  <si>
    <t>RU - Dashboard Refresh</t>
  </si>
  <si>
    <t>Innovation Tracker</t>
  </si>
  <si>
    <t>MP ROS for UAE/KSA</t>
  </si>
  <si>
    <t>KSA -Review Dashboard</t>
  </si>
  <si>
    <t>Scorecard Mock up</t>
  </si>
  <si>
    <t>DE-Review Dashboard</t>
  </si>
  <si>
    <t xml:space="preserve">PackType Tracker </t>
  </si>
  <si>
    <t>Portugal Raw Data File Data Pull</t>
  </si>
  <si>
    <t>Adhoc</t>
  </si>
  <si>
    <t xml:space="preserve">New Users </t>
  </si>
  <si>
    <t xml:space="preserve">UAE -Review Dashboard </t>
  </si>
  <si>
    <t>ROS/CWDP/NSV TRACKER</t>
  </si>
  <si>
    <t>KSA Data Pull on SKU</t>
  </si>
  <si>
    <t>Scorecard Data Pull(QC inclusive)</t>
  </si>
  <si>
    <t>Scorecard Data Pull</t>
  </si>
  <si>
    <t>MP Tracker UAE &amp; KSA</t>
  </si>
  <si>
    <t>New Users MP Tracker</t>
  </si>
  <si>
    <t>UAE new SKU Data Pull</t>
  </si>
  <si>
    <t xml:space="preserve">Rework KSA and UAE </t>
  </si>
  <si>
    <t>DE - Final Dashboard</t>
  </si>
  <si>
    <t>Market Refresh- DE</t>
  </si>
  <si>
    <t>ROS file Update</t>
  </si>
  <si>
    <t>FR - Review DashBoard</t>
  </si>
  <si>
    <t>MP Tracker NL FR</t>
  </si>
  <si>
    <t xml:space="preserve">KSA new SKUs Data Pull </t>
  </si>
  <si>
    <t>KSA&amp;UAE - Final DashBoard</t>
  </si>
  <si>
    <t>Market Refresh- KSA &amp;UAE</t>
  </si>
  <si>
    <t>Top Market Insight</t>
  </si>
  <si>
    <t>IT Second Hierarchy</t>
  </si>
  <si>
    <t>UK Dashboard Refresh</t>
  </si>
  <si>
    <t>Carrefour in FR Markets</t>
  </si>
  <si>
    <t>IT Dashboard Refresh</t>
  </si>
  <si>
    <t>China Process Optimization</t>
  </si>
  <si>
    <t>HK &amp; RU Dashboard Refresh</t>
  </si>
  <si>
    <t>Issue</t>
  </si>
  <si>
    <t>Time</t>
  </si>
  <si>
    <t>Resource</t>
  </si>
  <si>
    <t>Total Time</t>
  </si>
  <si>
    <t>Infrastructure Issue with Azure Cluster</t>
  </si>
  <si>
    <t>Internal Connect</t>
  </si>
  <si>
    <t>BiWeekly Connect With Gabi</t>
  </si>
  <si>
    <t>Team Assessment</t>
  </si>
  <si>
    <t>MBR Connect</t>
  </si>
  <si>
    <t>DC Dashoard Discussion</t>
  </si>
  <si>
    <t>Flywheel Connect</t>
  </si>
  <si>
    <t>Scorecard Data pull</t>
  </si>
  <si>
    <t xml:space="preserve">FR-Review Dashboard </t>
  </si>
  <si>
    <t>AT RO FR UK -Final Dashboard</t>
  </si>
  <si>
    <t>Access to New Users</t>
  </si>
  <si>
    <t>IT- Review Dashboard</t>
  </si>
  <si>
    <t>NL-Review Dashboard</t>
  </si>
  <si>
    <t>FR Data Pull</t>
  </si>
  <si>
    <t>DE FACT LIST</t>
  </si>
  <si>
    <t>New Users</t>
  </si>
  <si>
    <t>KSA Excluded SKU</t>
  </si>
  <si>
    <t>UAE Excluded SKU</t>
  </si>
  <si>
    <t>MP Tracker</t>
  </si>
  <si>
    <t>KSA UAE-Final Dashboard</t>
  </si>
  <si>
    <t>New User</t>
  </si>
  <si>
    <t>New Marekt Analysis</t>
  </si>
  <si>
    <t>HK _Review Dashboard</t>
  </si>
  <si>
    <t>Denmark Data Update</t>
  </si>
  <si>
    <t>UAE Data Pull</t>
  </si>
  <si>
    <t>Weekly Tracker MockUp</t>
  </si>
  <si>
    <t>Global Dashboard</t>
  </si>
  <si>
    <t>52 Week Logic Implemetation</t>
  </si>
  <si>
    <t>FlyWheel Scorecard Mockup</t>
  </si>
  <si>
    <t>FlyWheel Scorecard Mockup &amp; Glossary</t>
  </si>
  <si>
    <t>Weekl Tracker Update</t>
  </si>
  <si>
    <t>Data Comparision NL</t>
  </si>
  <si>
    <t>Data Pull UK</t>
  </si>
  <si>
    <t>FlyWheel Scorecard Mockup &amp; Glossary - Reiterated</t>
  </si>
  <si>
    <t>Documents - Bi Weekly Connect</t>
  </si>
  <si>
    <t>UK - Data Logic</t>
  </si>
  <si>
    <t>KSA - Data Logic</t>
  </si>
  <si>
    <t>AU - Mail Notification</t>
  </si>
  <si>
    <t>KSA &amp; NL - Market Notification</t>
  </si>
  <si>
    <t>UK - ROS Calculation</t>
  </si>
  <si>
    <t>AU - Data Documents</t>
  </si>
  <si>
    <t>FlyWheel Scorecard - Checkpoint</t>
  </si>
  <si>
    <t>Finance Escalation Mail</t>
  </si>
  <si>
    <t>China Escalation Mail</t>
  </si>
  <si>
    <t>Finance Reminder Mail</t>
  </si>
  <si>
    <t>Poland - EDA</t>
  </si>
  <si>
    <t>FW - Manual Teamplate &amp; Innovation Logic</t>
  </si>
  <si>
    <t>Poland - SKU Mapping</t>
  </si>
  <si>
    <t>UK &amp; FR - SKU Mappig</t>
  </si>
  <si>
    <t>Weekly Tracker Update</t>
  </si>
  <si>
    <t>FW - Manual Templates &amp; UK Scorecard</t>
  </si>
  <si>
    <t>Bi Weekly Connect - Document</t>
  </si>
  <si>
    <t>AU - Top Market Insights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</si>
</sst>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0" fillId="0" borderId="1" xfId="0" applyFill="1" applyBorder="1"/>
    <xf numFmtId="10" fontId="0" fillId="0" borderId="1" xfId="1" applyNumberFormat="1" applyFont="1" applyBorder="1"/>
    <xf numFmtId="0" fontId="2" fillId="0" borderId="1" xfId="0" applyFont="1" applyBorder="1"/>
    <xf numFmtId="0" fontId="4" fillId="0" borderId="1" xfId="0" applyFont="1" applyBorder="1"/>
    <xf numFmtId="14" fontId="4" fillId="0" borderId="1" xfId="0" applyNumberFormat="1" applyFont="1" applyBorder="1"/>
    <xf numFmtId="0" fontId="4" fillId="0" borderId="0" xfId="0" applyFont="1" applyBorder="1"/>
    <xf numFmtId="14" fontId="4" fillId="0" borderId="0" xfId="0" applyNumberFormat="1" applyFont="1" applyBorder="1"/>
    <xf numFmtId="14" fontId="0" fillId="0" borderId="2" xfId="0" applyNumberFormat="1" applyBorder="1"/>
    <xf numFmtId="0" fontId="0" fillId="0" borderId="3" xfId="0" applyBorder="1"/>
    <xf numFmtId="0" fontId="0" fillId="0" borderId="4" xfId="0" applyBorder="1"/>
    <xf numFmtId="14" fontId="3" fillId="2" borderId="1" xfId="0" applyNumberFormat="1" applyFont="1" applyFill="1" applyBorder="1"/>
    <xf numFmtId="0" fontId="3" fillId="2" borderId="1" xfId="0" applyFont="1" applyFill="1" applyBorder="1"/>
    <xf numFmtId="14" fontId="0" fillId="3" borderId="1" xfId="0" applyNumberFormat="1" applyFont="1" applyFill="1" applyBorder="1"/>
    <xf numFmtId="0" fontId="0" fillId="3" borderId="1" xfId="0" applyFont="1" applyFill="1" applyBorder="1"/>
    <xf numFmtId="14" fontId="0" fillId="0" borderId="1" xfId="0" applyNumberFormat="1" applyFont="1" applyBorder="1"/>
    <xf numFmtId="0" fontId="0" fillId="0" borderId="1" xfId="0" applyFont="1" applyBorder="1"/>
    <xf numFmtId="14" fontId="0" fillId="0" borderId="4" xfId="0" applyNumberFormat="1" applyBorder="1"/>
    <xf numFmtId="14" fontId="0" fillId="0" borderId="5" xfId="0" applyNumberFormat="1" applyFont="1" applyBorder="1"/>
    <xf numFmtId="0" fontId="5" fillId="0" borderId="1" xfId="0" applyFont="1" applyBorder="1"/>
    <xf numFmtId="14" fontId="5" fillId="0" borderId="1" xfId="0" applyNumberFormat="1" applyFont="1" applyBorder="1"/>
    <xf numFmtId="0" fontId="0" fillId="0" borderId="6" xfId="0" applyBorder="1"/>
    <xf numFmtId="14" fontId="0" fillId="0" borderId="7" xfId="0" applyNumberFormat="1" applyBorder="1"/>
    <xf numFmtId="0" fontId="0" fillId="0" borderId="7" xfId="0" applyBorder="1"/>
    <xf numFmtId="0" fontId="0" fillId="0" borderId="8" xfId="0" applyFill="1" applyBorder="1"/>
  </cellXfs>
  <cellStyles count="2">
    <cellStyle name="Normal" xfId="0" builtinId="0"/>
    <cellStyle name="Percent" xfId="1" builtinId="5"/>
  </cellStyles>
  <dxfs count="1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92CEAA-C251-4723-8B11-3427971ECE5B}" name="Table2" displayName="Table2" ref="B2:E155" totalsRowShown="0" headerRowDxfId="15" headerRowBorderDxfId="14" tableBorderDxfId="13" totalsRowBorderDxfId="12">
  <autoFilter ref="B2:E155" xr:uid="{6FEAC239-4465-41E1-80D1-0BF60175DC79}"/>
  <sortState xmlns:xlrd2="http://schemas.microsoft.com/office/spreadsheetml/2017/richdata2" ref="B3:E113">
    <sortCondition ref="B2:B113"/>
  </sortState>
  <tableColumns count="4">
    <tableColumn id="1" xr3:uid="{5E31CF34-CD5C-4CC7-8EE5-176624F673B8}" name="Date" dataDxfId="11"/>
    <tableColumn id="2" xr3:uid="{620C0109-068F-44BB-8764-178BD9E43EEB}" name="Deliverable/Tasks" dataDxfId="10"/>
    <tableColumn id="3" xr3:uid="{67CD488C-937E-4F57-9A0E-A1FDC3AB3443}" name="Count" dataDxfId="9"/>
    <tableColumn id="4" xr3:uid="{16EE1D95-EBE1-4234-AB6A-E67C9BBD9C8C}" name="Type" dataDxfId="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36807-FB0A-48FC-857D-748BE26F1EC3}" name="Table22" displayName="Table22" ref="B2:E155" totalsRowShown="0" headerRowDxfId="7" headerRowBorderDxfId="5" tableBorderDxfId="6" totalsRowBorderDxfId="4">
  <autoFilter ref="B2:E155" xr:uid="{6FEAC239-4465-41E1-80D1-0BF60175DC79}"/>
  <sortState xmlns:xlrd2="http://schemas.microsoft.com/office/spreadsheetml/2017/richdata2" ref="B3:E113">
    <sortCondition ref="B2:B113"/>
  </sortState>
  <tableColumns count="4">
    <tableColumn id="1" xr3:uid="{CADE2DF0-D243-40BA-A931-897725CD2A97}" name="Date" dataDxfId="3"/>
    <tableColumn id="2" xr3:uid="{77A0AB3D-DEEF-4150-B463-D013F5CF264B}" name="Deliverable/Tasks" dataDxfId="2"/>
    <tableColumn id="3" xr3:uid="{5F078AB6-292C-4D2B-9992-18EC2956BB37}" name="Count" dataDxfId="1"/>
    <tableColumn id="4" xr3:uid="{A0AD38C3-85BB-4218-A41B-D7DFAF5BC5EF}" name="Typ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3F643-DD83-41FD-9B40-321750A304F1}">
  <sheetPr codeName="Sheet1"/>
  <dimension ref="B2:K7"/>
  <sheetViews>
    <sheetView showGridLines="0" zoomScale="80" zoomScaleNormal="80" workbookViewId="0"/>
  </sheetViews>
  <sheetFormatPr defaultRowHeight="14.5" x14ac:dyDescent="0.35"/>
  <cols>
    <col min="2" max="2" width="26.54296875" bestFit="1" customWidth="1"/>
    <col min="3" max="3" width="8.7265625" bestFit="1" customWidth="1"/>
    <col min="5" max="5" width="11.453125" bestFit="1" customWidth="1"/>
    <col min="6" max="6" width="12.1796875" bestFit="1" customWidth="1"/>
    <col min="7" max="7" width="25.54296875" bestFit="1" customWidth="1"/>
    <col min="8" max="8" width="10.54296875" bestFit="1" customWidth="1"/>
    <col min="10" max="10" width="28.453125" bestFit="1" customWidth="1"/>
    <col min="11" max="11" width="5.1796875" bestFit="1" customWidth="1"/>
  </cols>
  <sheetData>
    <row r="2" spans="2:11" x14ac:dyDescent="0.35">
      <c r="B2" s="3" t="s">
        <v>0</v>
      </c>
      <c r="C2" s="3">
        <v>3</v>
      </c>
      <c r="E2" s="3"/>
      <c r="F2" s="3" t="s">
        <v>1</v>
      </c>
      <c r="G2" s="3" t="s">
        <v>2</v>
      </c>
      <c r="H2" s="3" t="s">
        <v>3</v>
      </c>
      <c r="J2" s="3" t="s">
        <v>4</v>
      </c>
      <c r="K2" s="3">
        <f>SUM('Internal Connects'!F:F)</f>
        <v>105</v>
      </c>
    </row>
    <row r="3" spans="2:11" x14ac:dyDescent="0.35">
      <c r="B3" s="3" t="s">
        <v>5</v>
      </c>
      <c r="C3" s="3">
        <v>8</v>
      </c>
      <c r="E3" s="3" t="s">
        <v>6</v>
      </c>
      <c r="F3" s="3">
        <f>F6-F4-F5</f>
        <v>208</v>
      </c>
      <c r="G3" s="3">
        <v>2</v>
      </c>
      <c r="H3" s="3">
        <f>F3*G3</f>
        <v>416</v>
      </c>
      <c r="J3" s="3" t="s">
        <v>7</v>
      </c>
      <c r="K3" s="3">
        <f>SUM('Technical Issues'!F:F)</f>
        <v>24</v>
      </c>
    </row>
    <row r="4" spans="2:11" x14ac:dyDescent="0.35">
      <c r="B4" s="3" t="s">
        <v>8</v>
      </c>
      <c r="C4" s="3">
        <v>22</v>
      </c>
      <c r="E4" s="3" t="s">
        <v>9</v>
      </c>
      <c r="F4" s="3">
        <f>SUM(AdHoc!D:D)</f>
        <v>43</v>
      </c>
      <c r="G4" s="3">
        <v>3</v>
      </c>
      <c r="H4" s="3">
        <f>F4*G4</f>
        <v>129</v>
      </c>
      <c r="J4" s="3" t="s">
        <v>10</v>
      </c>
      <c r="K4" s="3">
        <f>3*C4*2</f>
        <v>132</v>
      </c>
    </row>
    <row r="5" spans="2:11" x14ac:dyDescent="0.35">
      <c r="B5" s="3" t="s">
        <v>11</v>
      </c>
      <c r="C5" s="3">
        <f>C2*C3*C4</f>
        <v>528</v>
      </c>
      <c r="E5" s="3" t="s">
        <v>12</v>
      </c>
      <c r="F5" s="3">
        <f>SUM(NewWorkstreams!D:D)</f>
        <v>15</v>
      </c>
      <c r="G5" s="3">
        <v>5</v>
      </c>
      <c r="H5" s="3">
        <f>F5*G5</f>
        <v>75</v>
      </c>
    </row>
    <row r="6" spans="2:11" x14ac:dyDescent="0.35">
      <c r="B6" s="4" t="s">
        <v>13</v>
      </c>
      <c r="C6" s="6">
        <f>H6+SUM(K:K)</f>
        <v>881</v>
      </c>
      <c r="E6" s="3" t="s">
        <v>14</v>
      </c>
      <c r="F6" s="3">
        <f>SUM(Deliverable!D:D)</f>
        <v>266</v>
      </c>
      <c r="G6" s="3" t="s">
        <v>15</v>
      </c>
      <c r="H6" s="3">
        <f>SUM(H3:H5)</f>
        <v>620</v>
      </c>
    </row>
    <row r="7" spans="2:11" x14ac:dyDescent="0.35">
      <c r="B7" s="4" t="s">
        <v>16</v>
      </c>
      <c r="C7" s="5">
        <f>C6/C5</f>
        <v>1.668560606060606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113D-A750-4D68-A525-1AF6F199FD5B}">
  <sheetPr codeName="Sheet2"/>
  <dimension ref="B2:K155"/>
  <sheetViews>
    <sheetView showGridLines="0" topLeftCell="A137" zoomScale="80" zoomScaleNormal="80" workbookViewId="0">
      <selection activeCell="B166" sqref="B166"/>
    </sheetView>
  </sheetViews>
  <sheetFormatPr defaultRowHeight="14.5" x14ac:dyDescent="0.35"/>
  <cols>
    <col min="2" max="2" width="11.54296875" style="1" bestFit="1" customWidth="1"/>
    <col min="3" max="3" width="37.26953125" bestFit="1" customWidth="1"/>
    <col min="4" max="4" width="9.1796875" bestFit="1" customWidth="1"/>
    <col min="5" max="5" width="8.7265625" bestFit="1" customWidth="1"/>
    <col min="7" max="7" width="10.81640625" customWidth="1"/>
    <col min="8" max="8" width="9.7265625" bestFit="1" customWidth="1"/>
    <col min="9" max="9" width="9.1796875" customWidth="1"/>
    <col min="10" max="10" width="11.1796875" customWidth="1"/>
    <col min="11" max="11" width="11.26953125" bestFit="1" customWidth="1"/>
    <col min="12" max="14" width="9.1796875" customWidth="1"/>
  </cols>
  <sheetData>
    <row r="2" spans="2:11" x14ac:dyDescent="0.35">
      <c r="B2" s="20" t="s">
        <v>17</v>
      </c>
      <c r="C2" s="13" t="s">
        <v>18</v>
      </c>
      <c r="D2" s="13" t="s">
        <v>19</v>
      </c>
      <c r="E2" s="13" t="s">
        <v>20</v>
      </c>
      <c r="J2" s="7" t="s">
        <v>21</v>
      </c>
      <c r="K2" s="8">
        <f>B23-30</f>
        <v>44073</v>
      </c>
    </row>
    <row r="3" spans="2:11" x14ac:dyDescent="0.35">
      <c r="B3" s="11">
        <v>44096</v>
      </c>
      <c r="C3" s="13" t="s">
        <v>22</v>
      </c>
      <c r="D3" s="13">
        <v>1</v>
      </c>
      <c r="E3" s="24" t="s">
        <v>23</v>
      </c>
      <c r="J3" s="9"/>
      <c r="K3" s="10"/>
    </row>
    <row r="4" spans="2:11" x14ac:dyDescent="0.35">
      <c r="B4" s="11">
        <v>44096</v>
      </c>
      <c r="C4" s="13" t="s">
        <v>24</v>
      </c>
      <c r="D4" s="13">
        <v>3</v>
      </c>
      <c r="E4" s="24" t="s">
        <v>6</v>
      </c>
      <c r="J4" s="9"/>
      <c r="K4" s="10"/>
    </row>
    <row r="5" spans="2:11" x14ac:dyDescent="0.35">
      <c r="B5" s="11">
        <v>44096</v>
      </c>
      <c r="C5" s="13" t="s">
        <v>25</v>
      </c>
      <c r="D5" s="13">
        <v>1</v>
      </c>
      <c r="E5" s="24" t="s">
        <v>6</v>
      </c>
      <c r="J5" s="9"/>
      <c r="K5" s="10"/>
    </row>
    <row r="6" spans="2:11" x14ac:dyDescent="0.35">
      <c r="B6" s="11">
        <v>44097</v>
      </c>
      <c r="C6" s="13" t="s">
        <v>26</v>
      </c>
      <c r="D6" s="13">
        <v>1</v>
      </c>
      <c r="E6" s="24" t="s">
        <v>12</v>
      </c>
      <c r="J6" s="9"/>
      <c r="K6" s="10"/>
    </row>
    <row r="7" spans="2:11" x14ac:dyDescent="0.35">
      <c r="B7" s="11">
        <v>44097</v>
      </c>
      <c r="C7" s="13" t="s">
        <v>27</v>
      </c>
      <c r="D7" s="13">
        <v>1</v>
      </c>
      <c r="E7" s="24" t="s">
        <v>6</v>
      </c>
      <c r="J7" s="9"/>
      <c r="K7" s="10"/>
    </row>
    <row r="8" spans="2:11" x14ac:dyDescent="0.35">
      <c r="B8" s="11">
        <v>44097</v>
      </c>
      <c r="C8" s="13" t="s">
        <v>28</v>
      </c>
      <c r="D8" s="13">
        <v>1</v>
      </c>
      <c r="E8" s="24" t="s">
        <v>15</v>
      </c>
      <c r="J8" s="9"/>
      <c r="K8" s="10"/>
    </row>
    <row r="9" spans="2:11" x14ac:dyDescent="0.35">
      <c r="B9" s="11">
        <v>44097</v>
      </c>
      <c r="C9" s="13" t="s">
        <v>29</v>
      </c>
      <c r="D9" s="13">
        <v>2</v>
      </c>
      <c r="E9" s="24" t="s">
        <v>23</v>
      </c>
      <c r="J9" s="9"/>
      <c r="K9" s="10"/>
    </row>
    <row r="10" spans="2:11" x14ac:dyDescent="0.35">
      <c r="B10" s="11">
        <v>44098</v>
      </c>
      <c r="C10" s="13" t="s">
        <v>30</v>
      </c>
      <c r="D10" s="13">
        <v>1</v>
      </c>
      <c r="E10" s="24" t="s">
        <v>23</v>
      </c>
      <c r="J10" s="9"/>
      <c r="K10" s="10"/>
    </row>
    <row r="11" spans="2:11" x14ac:dyDescent="0.35">
      <c r="B11" s="11">
        <v>44098</v>
      </c>
      <c r="C11" s="13" t="s">
        <v>31</v>
      </c>
      <c r="D11" s="13">
        <v>4</v>
      </c>
      <c r="E11" s="24" t="s">
        <v>12</v>
      </c>
      <c r="J11" s="9"/>
      <c r="K11" s="10"/>
    </row>
    <row r="12" spans="2:11" x14ac:dyDescent="0.35">
      <c r="B12" s="11">
        <v>44098</v>
      </c>
      <c r="C12" s="13" t="s">
        <v>32</v>
      </c>
      <c r="D12" s="13">
        <v>4</v>
      </c>
      <c r="E12" s="24" t="s">
        <v>6</v>
      </c>
      <c r="J12" s="9"/>
      <c r="K12" s="10"/>
    </row>
    <row r="13" spans="2:11" x14ac:dyDescent="0.35">
      <c r="B13" s="11">
        <v>44098</v>
      </c>
      <c r="C13" s="13" t="s">
        <v>29</v>
      </c>
      <c r="D13" s="13">
        <v>1</v>
      </c>
      <c r="E13" s="24" t="s">
        <v>23</v>
      </c>
      <c r="J13" s="9"/>
      <c r="K13" s="10"/>
    </row>
    <row r="14" spans="2:11" x14ac:dyDescent="0.35">
      <c r="B14" s="11">
        <v>44098</v>
      </c>
      <c r="C14" s="13" t="s">
        <v>33</v>
      </c>
      <c r="D14" s="13">
        <v>2</v>
      </c>
      <c r="E14" s="24" t="s">
        <v>15</v>
      </c>
      <c r="J14" s="9"/>
      <c r="K14" s="10"/>
    </row>
    <row r="15" spans="2:11" x14ac:dyDescent="0.35">
      <c r="B15" s="11">
        <v>44099</v>
      </c>
      <c r="C15" s="13" t="s">
        <v>34</v>
      </c>
      <c r="D15" s="13">
        <v>1</v>
      </c>
      <c r="E15" s="24" t="s">
        <v>23</v>
      </c>
      <c r="J15" s="9"/>
      <c r="K15" s="10"/>
    </row>
    <row r="16" spans="2:11" x14ac:dyDescent="0.35">
      <c r="B16" s="11">
        <v>44099</v>
      </c>
      <c r="C16" s="13" t="s">
        <v>31</v>
      </c>
      <c r="D16" s="13">
        <v>1</v>
      </c>
      <c r="E16" s="24" t="s">
        <v>12</v>
      </c>
      <c r="J16" s="9"/>
      <c r="K16" s="10"/>
    </row>
    <row r="17" spans="2:11" x14ac:dyDescent="0.35">
      <c r="B17" s="11">
        <v>44099</v>
      </c>
      <c r="C17" s="13" t="s">
        <v>22</v>
      </c>
      <c r="D17" s="13">
        <v>2</v>
      </c>
      <c r="E17" s="24" t="s">
        <v>23</v>
      </c>
      <c r="J17" s="9"/>
      <c r="K17" s="10"/>
    </row>
    <row r="18" spans="2:11" x14ac:dyDescent="0.35">
      <c r="B18" s="11">
        <v>44099</v>
      </c>
      <c r="C18" s="13" t="s">
        <v>35</v>
      </c>
      <c r="D18" s="13">
        <v>2</v>
      </c>
      <c r="E18" s="24" t="s">
        <v>6</v>
      </c>
      <c r="J18" s="9"/>
      <c r="K18" s="10"/>
    </row>
    <row r="19" spans="2:11" x14ac:dyDescent="0.35">
      <c r="B19" s="11">
        <v>44102</v>
      </c>
      <c r="C19" s="13" t="s">
        <v>36</v>
      </c>
      <c r="D19" s="13">
        <v>2</v>
      </c>
      <c r="E19" s="24" t="s">
        <v>6</v>
      </c>
      <c r="J19" s="9"/>
      <c r="K19" s="10"/>
    </row>
    <row r="20" spans="2:11" x14ac:dyDescent="0.35">
      <c r="B20" s="11">
        <v>44102</v>
      </c>
      <c r="C20" s="13" t="s">
        <v>37</v>
      </c>
      <c r="D20" s="13">
        <v>1</v>
      </c>
      <c r="E20" s="24" t="s">
        <v>23</v>
      </c>
      <c r="J20" s="9"/>
      <c r="K20" s="10"/>
    </row>
    <row r="21" spans="2:11" x14ac:dyDescent="0.35">
      <c r="B21" s="11">
        <v>44103</v>
      </c>
      <c r="C21" s="13" t="s">
        <v>38</v>
      </c>
      <c r="D21" s="13">
        <v>3</v>
      </c>
      <c r="E21" s="24" t="s">
        <v>23</v>
      </c>
      <c r="J21" s="9"/>
      <c r="K21" s="10"/>
    </row>
    <row r="22" spans="2:11" x14ac:dyDescent="0.35">
      <c r="B22" s="11">
        <v>44103</v>
      </c>
      <c r="C22" s="13" t="s">
        <v>39</v>
      </c>
      <c r="D22" s="13">
        <v>1</v>
      </c>
      <c r="E22" s="24" t="s">
        <v>12</v>
      </c>
      <c r="J22" s="9"/>
      <c r="K22" s="10"/>
    </row>
    <row r="23" spans="2:11" x14ac:dyDescent="0.35">
      <c r="B23" s="11">
        <v>44103</v>
      </c>
      <c r="C23" s="3" t="s">
        <v>40</v>
      </c>
      <c r="D23" s="3">
        <v>1</v>
      </c>
      <c r="E23" s="12" t="s">
        <v>23</v>
      </c>
      <c r="G23" s="1"/>
      <c r="H23" s="1"/>
      <c r="J23" s="9"/>
      <c r="K23" s="10"/>
    </row>
    <row r="24" spans="2:11" x14ac:dyDescent="0.35">
      <c r="B24" s="11">
        <v>44103</v>
      </c>
      <c r="C24" s="3" t="s">
        <v>41</v>
      </c>
      <c r="D24" s="3">
        <v>1</v>
      </c>
      <c r="E24" s="12" t="s">
        <v>23</v>
      </c>
    </row>
    <row r="25" spans="2:11" x14ac:dyDescent="0.35">
      <c r="B25" s="11">
        <v>44103</v>
      </c>
      <c r="C25" s="3" t="s">
        <v>42</v>
      </c>
      <c r="D25" s="3">
        <v>1</v>
      </c>
      <c r="E25" s="12" t="s">
        <v>23</v>
      </c>
    </row>
    <row r="26" spans="2:11" x14ac:dyDescent="0.35">
      <c r="B26" s="11">
        <v>44103</v>
      </c>
      <c r="C26" s="3" t="s">
        <v>43</v>
      </c>
      <c r="D26" s="3">
        <v>1</v>
      </c>
      <c r="E26" s="12" t="s">
        <v>23</v>
      </c>
    </row>
    <row r="27" spans="2:11" x14ac:dyDescent="0.35">
      <c r="B27" s="11">
        <v>44103</v>
      </c>
      <c r="C27" s="3" t="s">
        <v>44</v>
      </c>
      <c r="D27" s="3">
        <v>4</v>
      </c>
      <c r="E27" s="12" t="s">
        <v>6</v>
      </c>
    </row>
    <row r="28" spans="2:11" x14ac:dyDescent="0.35">
      <c r="B28" s="2">
        <v>44103</v>
      </c>
      <c r="C28" s="3" t="s">
        <v>25</v>
      </c>
      <c r="D28" s="3">
        <v>1</v>
      </c>
      <c r="E28" s="3" t="s">
        <v>6</v>
      </c>
    </row>
    <row r="29" spans="2:11" x14ac:dyDescent="0.35">
      <c r="B29" s="2">
        <v>44104</v>
      </c>
      <c r="C29" s="3" t="s">
        <v>45</v>
      </c>
      <c r="D29" s="3">
        <v>1</v>
      </c>
      <c r="E29" s="3" t="s">
        <v>23</v>
      </c>
    </row>
    <row r="30" spans="2:11" x14ac:dyDescent="0.35">
      <c r="B30" s="2">
        <v>44104</v>
      </c>
      <c r="C30" s="3" t="s">
        <v>42</v>
      </c>
      <c r="D30" s="3">
        <v>1</v>
      </c>
      <c r="E30" s="3" t="s">
        <v>23</v>
      </c>
    </row>
    <row r="31" spans="2:11" x14ac:dyDescent="0.35">
      <c r="B31" s="2">
        <v>44104</v>
      </c>
      <c r="C31" s="3" t="s">
        <v>27</v>
      </c>
      <c r="D31" s="3">
        <v>1</v>
      </c>
      <c r="E31" s="3" t="s">
        <v>6</v>
      </c>
    </row>
    <row r="32" spans="2:11" x14ac:dyDescent="0.35">
      <c r="B32" s="2">
        <v>44104</v>
      </c>
      <c r="C32" s="3" t="s">
        <v>46</v>
      </c>
      <c r="D32" s="3">
        <v>1</v>
      </c>
      <c r="E32" s="3" t="s">
        <v>23</v>
      </c>
    </row>
    <row r="33" spans="2:5" x14ac:dyDescent="0.35">
      <c r="B33" s="2">
        <v>44105</v>
      </c>
      <c r="C33" s="3" t="s">
        <v>47</v>
      </c>
      <c r="D33" s="3">
        <v>3</v>
      </c>
      <c r="E33" s="3" t="s">
        <v>6</v>
      </c>
    </row>
    <row r="34" spans="2:5" x14ac:dyDescent="0.35">
      <c r="B34" s="2">
        <v>44105</v>
      </c>
      <c r="C34" s="3" t="s">
        <v>48</v>
      </c>
      <c r="D34" s="3">
        <v>1</v>
      </c>
      <c r="E34" s="3" t="s">
        <v>23</v>
      </c>
    </row>
    <row r="35" spans="2:5" x14ac:dyDescent="0.35">
      <c r="B35" s="2">
        <v>44105</v>
      </c>
      <c r="C35" s="3" t="s">
        <v>49</v>
      </c>
      <c r="D35" s="3">
        <v>1</v>
      </c>
      <c r="E35" s="3" t="s">
        <v>23</v>
      </c>
    </row>
    <row r="36" spans="2:5" x14ac:dyDescent="0.35">
      <c r="B36" s="2">
        <v>44105</v>
      </c>
      <c r="C36" s="3" t="s">
        <v>50</v>
      </c>
      <c r="D36" s="3">
        <v>1</v>
      </c>
      <c r="E36" s="3" t="s">
        <v>12</v>
      </c>
    </row>
    <row r="37" spans="2:5" x14ac:dyDescent="0.35">
      <c r="B37" s="2">
        <v>44109</v>
      </c>
      <c r="C37" s="3" t="s">
        <v>31</v>
      </c>
      <c r="D37" s="3">
        <v>3</v>
      </c>
      <c r="E37" s="3" t="s">
        <v>12</v>
      </c>
    </row>
    <row r="38" spans="2:5" x14ac:dyDescent="0.35">
      <c r="B38" s="2">
        <v>44109</v>
      </c>
      <c r="C38" s="3" t="s">
        <v>50</v>
      </c>
      <c r="D38" s="3">
        <v>2</v>
      </c>
      <c r="E38" s="3" t="s">
        <v>12</v>
      </c>
    </row>
    <row r="39" spans="2:5" x14ac:dyDescent="0.35">
      <c r="B39" s="2">
        <v>44109</v>
      </c>
      <c r="C39" s="3" t="s">
        <v>51</v>
      </c>
      <c r="D39" s="3">
        <v>1</v>
      </c>
      <c r="E39" s="3" t="s">
        <v>23</v>
      </c>
    </row>
    <row r="40" spans="2:5" x14ac:dyDescent="0.35">
      <c r="B40" s="2">
        <v>44109</v>
      </c>
      <c r="C40" s="3" t="s">
        <v>52</v>
      </c>
      <c r="D40" s="3">
        <v>1</v>
      </c>
      <c r="E40" s="3" t="s">
        <v>23</v>
      </c>
    </row>
    <row r="41" spans="2:5" x14ac:dyDescent="0.35">
      <c r="B41" s="2">
        <v>44109</v>
      </c>
      <c r="C41" s="3" t="s">
        <v>29</v>
      </c>
      <c r="D41" s="3">
        <v>1</v>
      </c>
      <c r="E41" s="3" t="s">
        <v>23</v>
      </c>
    </row>
    <row r="42" spans="2:5" x14ac:dyDescent="0.35">
      <c r="B42" s="2">
        <v>44109</v>
      </c>
      <c r="C42" s="3" t="s">
        <v>53</v>
      </c>
      <c r="D42" s="3">
        <v>3</v>
      </c>
      <c r="E42" s="3" t="s">
        <v>6</v>
      </c>
    </row>
    <row r="43" spans="2:5" x14ac:dyDescent="0.35">
      <c r="B43" s="2">
        <v>44109</v>
      </c>
      <c r="C43" s="3" t="s">
        <v>54</v>
      </c>
      <c r="D43" s="3">
        <v>1</v>
      </c>
      <c r="E43" s="3" t="s">
        <v>23</v>
      </c>
    </row>
    <row r="44" spans="2:5" x14ac:dyDescent="0.35">
      <c r="B44" s="2">
        <v>44110</v>
      </c>
      <c r="C44" s="3" t="s">
        <v>29</v>
      </c>
      <c r="D44" s="3">
        <v>2</v>
      </c>
      <c r="E44" s="3" t="s">
        <v>23</v>
      </c>
    </row>
    <row r="45" spans="2:5" x14ac:dyDescent="0.35">
      <c r="B45" s="2">
        <v>44111</v>
      </c>
      <c r="C45" s="3" t="s">
        <v>55</v>
      </c>
      <c r="D45" s="3">
        <v>1</v>
      </c>
      <c r="E45" s="3" t="s">
        <v>6</v>
      </c>
    </row>
    <row r="46" spans="2:5" x14ac:dyDescent="0.35">
      <c r="B46" s="2">
        <v>44111</v>
      </c>
      <c r="C46" s="3" t="s">
        <v>56</v>
      </c>
      <c r="D46" s="3">
        <v>1</v>
      </c>
      <c r="E46" s="3" t="s">
        <v>23</v>
      </c>
    </row>
    <row r="47" spans="2:5" x14ac:dyDescent="0.35">
      <c r="B47" s="2">
        <v>44111</v>
      </c>
      <c r="C47" s="3" t="s">
        <v>29</v>
      </c>
      <c r="D47" s="3">
        <v>1</v>
      </c>
      <c r="E47" s="3" t="s">
        <v>23</v>
      </c>
    </row>
    <row r="48" spans="2:5" x14ac:dyDescent="0.35">
      <c r="B48" s="2">
        <v>44111</v>
      </c>
      <c r="C48" s="3" t="s">
        <v>27</v>
      </c>
      <c r="D48" s="3">
        <v>1</v>
      </c>
      <c r="E48" s="3" t="s">
        <v>6</v>
      </c>
    </row>
    <row r="49" spans="2:5" x14ac:dyDescent="0.35">
      <c r="B49" s="2">
        <v>44112</v>
      </c>
      <c r="C49" s="3" t="s">
        <v>57</v>
      </c>
      <c r="D49" s="3">
        <v>2</v>
      </c>
      <c r="E49" s="3" t="s">
        <v>6</v>
      </c>
    </row>
    <row r="50" spans="2:5" x14ac:dyDescent="0.35">
      <c r="B50" s="2">
        <v>44112</v>
      </c>
      <c r="C50" s="3" t="s">
        <v>58</v>
      </c>
      <c r="D50" s="3">
        <v>1</v>
      </c>
      <c r="E50" s="3" t="s">
        <v>23</v>
      </c>
    </row>
    <row r="51" spans="2:5" x14ac:dyDescent="0.35">
      <c r="B51" s="2">
        <v>44112</v>
      </c>
      <c r="C51" s="3" t="s">
        <v>59</v>
      </c>
      <c r="D51" s="3">
        <v>1</v>
      </c>
      <c r="E51" s="3" t="s">
        <v>6</v>
      </c>
    </row>
    <row r="52" spans="2:5" x14ac:dyDescent="0.35">
      <c r="B52" s="2">
        <v>44113</v>
      </c>
      <c r="C52" s="3" t="s">
        <v>60</v>
      </c>
      <c r="D52" s="3">
        <v>2</v>
      </c>
      <c r="E52" s="3" t="s">
        <v>6</v>
      </c>
    </row>
    <row r="53" spans="2:5" x14ac:dyDescent="0.35">
      <c r="B53" s="2">
        <v>44116</v>
      </c>
      <c r="C53" s="3" t="s">
        <v>53</v>
      </c>
      <c r="D53" s="3">
        <v>2</v>
      </c>
      <c r="E53" s="3" t="s">
        <v>6</v>
      </c>
    </row>
    <row r="54" spans="2:5" x14ac:dyDescent="0.35">
      <c r="B54" s="2">
        <v>44116</v>
      </c>
      <c r="C54" s="3" t="s">
        <v>61</v>
      </c>
      <c r="D54" s="3">
        <v>1</v>
      </c>
      <c r="E54" s="3" t="s">
        <v>6</v>
      </c>
    </row>
    <row r="55" spans="2:5" x14ac:dyDescent="0.35">
      <c r="B55" s="2">
        <v>44116</v>
      </c>
      <c r="C55" s="3" t="s">
        <v>62</v>
      </c>
      <c r="D55" s="3">
        <v>1</v>
      </c>
      <c r="E55" s="3" t="s">
        <v>23</v>
      </c>
    </row>
    <row r="56" spans="2:5" x14ac:dyDescent="0.35">
      <c r="B56" s="2">
        <v>44117</v>
      </c>
      <c r="C56" s="3" t="s">
        <v>53</v>
      </c>
      <c r="D56" s="3">
        <v>1</v>
      </c>
      <c r="E56" s="3" t="s">
        <v>6</v>
      </c>
    </row>
    <row r="57" spans="2:5" x14ac:dyDescent="0.35">
      <c r="B57" s="2">
        <v>44117</v>
      </c>
      <c r="C57" s="3" t="s">
        <v>22</v>
      </c>
      <c r="D57" s="3">
        <v>1</v>
      </c>
      <c r="E57" s="3" t="s">
        <v>23</v>
      </c>
    </row>
    <row r="58" spans="2:5" x14ac:dyDescent="0.35">
      <c r="B58" s="2">
        <v>44117</v>
      </c>
      <c r="C58" s="3" t="s">
        <v>57</v>
      </c>
      <c r="D58" s="3">
        <v>1</v>
      </c>
      <c r="E58" s="3" t="s">
        <v>6</v>
      </c>
    </row>
    <row r="59" spans="2:5" x14ac:dyDescent="0.35">
      <c r="B59" s="2">
        <v>44117</v>
      </c>
      <c r="C59" s="3" t="s">
        <v>63</v>
      </c>
      <c r="D59" s="3">
        <v>1</v>
      </c>
      <c r="E59" s="3" t="s">
        <v>6</v>
      </c>
    </row>
    <row r="60" spans="2:5" x14ac:dyDescent="0.35">
      <c r="B60" s="2">
        <v>44117</v>
      </c>
      <c r="C60" s="3" t="s">
        <v>64</v>
      </c>
      <c r="D60" s="3">
        <v>1</v>
      </c>
      <c r="E60" s="3" t="s">
        <v>6</v>
      </c>
    </row>
    <row r="61" spans="2:5" x14ac:dyDescent="0.35">
      <c r="B61" s="2">
        <v>44118</v>
      </c>
      <c r="C61" s="3" t="s">
        <v>65</v>
      </c>
      <c r="D61" s="3">
        <v>1</v>
      </c>
      <c r="E61" s="3" t="s">
        <v>23</v>
      </c>
    </row>
    <row r="62" spans="2:5" x14ac:dyDescent="0.35">
      <c r="B62" s="2">
        <v>44118</v>
      </c>
      <c r="C62" s="3" t="s">
        <v>66</v>
      </c>
      <c r="D62" s="3">
        <v>1</v>
      </c>
      <c r="E62" s="3" t="s">
        <v>6</v>
      </c>
    </row>
    <row r="63" spans="2:5" x14ac:dyDescent="0.35">
      <c r="B63" s="2">
        <v>44118</v>
      </c>
      <c r="C63" s="3" t="s">
        <v>27</v>
      </c>
      <c r="D63" s="3">
        <v>1</v>
      </c>
      <c r="E63" s="3" t="s">
        <v>6</v>
      </c>
    </row>
    <row r="64" spans="2:5" x14ac:dyDescent="0.35">
      <c r="B64" s="2">
        <v>44118</v>
      </c>
      <c r="C64" s="3" t="s">
        <v>67</v>
      </c>
      <c r="D64" s="3">
        <v>2</v>
      </c>
      <c r="E64" s="3" t="s">
        <v>23</v>
      </c>
    </row>
    <row r="65" spans="2:5" x14ac:dyDescent="0.35">
      <c r="B65" s="2">
        <v>44119</v>
      </c>
      <c r="C65" s="3" t="s">
        <v>68</v>
      </c>
      <c r="D65" s="3">
        <v>2</v>
      </c>
      <c r="E65" s="3" t="s">
        <v>23</v>
      </c>
    </row>
    <row r="66" spans="2:5" x14ac:dyDescent="0.35">
      <c r="B66" s="2">
        <v>44119</v>
      </c>
      <c r="C66" s="3" t="s">
        <v>22</v>
      </c>
      <c r="D66" s="3">
        <v>1</v>
      </c>
      <c r="E66" s="3" t="s">
        <v>23</v>
      </c>
    </row>
    <row r="67" spans="2:5" x14ac:dyDescent="0.35">
      <c r="B67" s="2">
        <v>44119</v>
      </c>
      <c r="C67" s="3" t="s">
        <v>69</v>
      </c>
      <c r="D67" s="3">
        <v>1</v>
      </c>
      <c r="E67" s="3" t="s">
        <v>23</v>
      </c>
    </row>
    <row r="68" spans="2:5" x14ac:dyDescent="0.35">
      <c r="B68" s="2">
        <v>44120</v>
      </c>
      <c r="C68" s="3" t="s">
        <v>22</v>
      </c>
      <c r="D68" s="3">
        <v>1</v>
      </c>
      <c r="E68" s="3" t="s">
        <v>23</v>
      </c>
    </row>
    <row r="69" spans="2:5" x14ac:dyDescent="0.35">
      <c r="B69" s="2">
        <v>44123</v>
      </c>
      <c r="C69" s="3" t="s">
        <v>53</v>
      </c>
      <c r="D69" s="3">
        <v>5</v>
      </c>
      <c r="E69" s="3" t="s">
        <v>6</v>
      </c>
    </row>
    <row r="70" spans="2:5" x14ac:dyDescent="0.35">
      <c r="B70" s="2">
        <v>44123</v>
      </c>
      <c r="C70" s="3" t="s">
        <v>39</v>
      </c>
      <c r="D70" s="3">
        <v>1</v>
      </c>
      <c r="E70" s="3" t="s">
        <v>12</v>
      </c>
    </row>
    <row r="71" spans="2:5" x14ac:dyDescent="0.35">
      <c r="B71" s="2">
        <v>44123</v>
      </c>
      <c r="C71" s="3" t="s">
        <v>70</v>
      </c>
      <c r="D71" s="3">
        <v>1</v>
      </c>
      <c r="E71" s="3" t="s">
        <v>6</v>
      </c>
    </row>
    <row r="72" spans="2:5" x14ac:dyDescent="0.35">
      <c r="B72" s="2">
        <v>44123</v>
      </c>
      <c r="C72" s="3" t="s">
        <v>68</v>
      </c>
      <c r="D72" s="3">
        <v>1</v>
      </c>
      <c r="E72" s="3" t="s">
        <v>23</v>
      </c>
    </row>
    <row r="73" spans="2:5" x14ac:dyDescent="0.35">
      <c r="B73" s="2">
        <v>44124</v>
      </c>
      <c r="C73" s="3" t="s">
        <v>71</v>
      </c>
      <c r="D73" s="3">
        <v>1</v>
      </c>
      <c r="E73" s="3" t="s">
        <v>12</v>
      </c>
    </row>
    <row r="74" spans="2:5" x14ac:dyDescent="0.35">
      <c r="B74" s="2">
        <v>44124</v>
      </c>
      <c r="C74" s="3" t="s">
        <v>64</v>
      </c>
      <c r="D74" s="3">
        <v>1</v>
      </c>
      <c r="E74" s="3" t="s">
        <v>6</v>
      </c>
    </row>
    <row r="75" spans="2:5" x14ac:dyDescent="0.35">
      <c r="B75" s="2">
        <v>44125</v>
      </c>
      <c r="C75" s="3" t="s">
        <v>27</v>
      </c>
      <c r="D75" s="3">
        <v>1</v>
      </c>
      <c r="E75" s="3" t="s">
        <v>6</v>
      </c>
    </row>
    <row r="76" spans="2:5" x14ac:dyDescent="0.35">
      <c r="B76" s="2">
        <v>44125</v>
      </c>
      <c r="C76" s="3" t="s">
        <v>72</v>
      </c>
      <c r="D76" s="3">
        <v>2</v>
      </c>
      <c r="E76" s="3" t="s">
        <v>23</v>
      </c>
    </row>
    <row r="77" spans="2:5" x14ac:dyDescent="0.35">
      <c r="B77" s="2">
        <v>44125</v>
      </c>
      <c r="C77" s="3" t="s">
        <v>73</v>
      </c>
      <c r="D77" s="3">
        <v>1</v>
      </c>
      <c r="E77" s="3" t="s">
        <v>6</v>
      </c>
    </row>
    <row r="78" spans="2:5" x14ac:dyDescent="0.35">
      <c r="B78" s="2">
        <v>44125</v>
      </c>
      <c r="C78" s="3" t="s">
        <v>74</v>
      </c>
      <c r="D78" s="3">
        <v>1</v>
      </c>
      <c r="E78" s="3" t="s">
        <v>12</v>
      </c>
    </row>
    <row r="79" spans="2:5" x14ac:dyDescent="0.35">
      <c r="B79" s="2">
        <v>44126</v>
      </c>
      <c r="C79" s="3" t="s">
        <v>75</v>
      </c>
      <c r="D79" s="3">
        <v>1</v>
      </c>
      <c r="E79" s="3" t="s">
        <v>6</v>
      </c>
    </row>
    <row r="80" spans="2:5" x14ac:dyDescent="0.35">
      <c r="B80" s="2">
        <v>44126</v>
      </c>
      <c r="C80" s="3" t="s">
        <v>76</v>
      </c>
      <c r="D80" s="3">
        <v>2</v>
      </c>
      <c r="E80" s="3" t="s">
        <v>23</v>
      </c>
    </row>
    <row r="81" spans="2:5" x14ac:dyDescent="0.35">
      <c r="B81" s="2">
        <v>44127</v>
      </c>
      <c r="C81" s="3" t="s">
        <v>77</v>
      </c>
      <c r="D81" s="3">
        <v>1</v>
      </c>
      <c r="E81" s="3" t="s">
        <v>78</v>
      </c>
    </row>
    <row r="82" spans="2:5" x14ac:dyDescent="0.35">
      <c r="B82" s="2">
        <v>44127</v>
      </c>
      <c r="C82" s="3" t="s">
        <v>79</v>
      </c>
      <c r="D82" s="3">
        <v>1</v>
      </c>
      <c r="E82" s="3" t="s">
        <v>78</v>
      </c>
    </row>
    <row r="83" spans="2:5" x14ac:dyDescent="0.35">
      <c r="B83" s="2">
        <v>44130</v>
      </c>
      <c r="C83" s="3" t="s">
        <v>80</v>
      </c>
      <c r="D83" s="3">
        <v>1</v>
      </c>
      <c r="E83" s="3" t="s">
        <v>6</v>
      </c>
    </row>
    <row r="84" spans="2:5" x14ac:dyDescent="0.35">
      <c r="B84" s="2">
        <v>44130</v>
      </c>
      <c r="C84" s="3" t="s">
        <v>81</v>
      </c>
      <c r="D84" s="3">
        <v>1</v>
      </c>
      <c r="E84" s="3" t="s">
        <v>23</v>
      </c>
    </row>
    <row r="85" spans="2:5" x14ac:dyDescent="0.35">
      <c r="B85" s="2">
        <v>44130</v>
      </c>
      <c r="C85" s="3" t="s">
        <v>82</v>
      </c>
      <c r="D85" s="3">
        <v>1</v>
      </c>
      <c r="E85" s="3" t="s">
        <v>78</v>
      </c>
    </row>
    <row r="86" spans="2:5" x14ac:dyDescent="0.35">
      <c r="B86" s="2">
        <v>44130</v>
      </c>
      <c r="C86" s="3" t="s">
        <v>72</v>
      </c>
      <c r="D86" s="3">
        <v>1</v>
      </c>
      <c r="E86" s="3" t="s">
        <v>23</v>
      </c>
    </row>
    <row r="87" spans="2:5" x14ac:dyDescent="0.35">
      <c r="B87" s="2">
        <v>44130</v>
      </c>
      <c r="C87" s="3" t="s">
        <v>74</v>
      </c>
      <c r="D87" s="3">
        <v>2</v>
      </c>
      <c r="E87" s="3" t="s">
        <v>12</v>
      </c>
    </row>
    <row r="88" spans="2:5" x14ac:dyDescent="0.35">
      <c r="B88" s="2">
        <v>44130</v>
      </c>
      <c r="C88" s="3" t="s">
        <v>83</v>
      </c>
      <c r="D88" s="3">
        <v>6</v>
      </c>
      <c r="E88" s="3" t="s">
        <v>12</v>
      </c>
    </row>
    <row r="89" spans="2:5" x14ac:dyDescent="0.35">
      <c r="B89" s="2">
        <v>44131</v>
      </c>
      <c r="C89" s="3" t="s">
        <v>84</v>
      </c>
      <c r="D89" s="3">
        <v>1</v>
      </c>
      <c r="E89" s="3" t="s">
        <v>12</v>
      </c>
    </row>
    <row r="90" spans="2:5" x14ac:dyDescent="0.35">
      <c r="B90" s="2">
        <v>44131</v>
      </c>
      <c r="C90" s="3" t="s">
        <v>85</v>
      </c>
      <c r="D90" s="3">
        <v>1</v>
      </c>
      <c r="E90" s="3" t="s">
        <v>6</v>
      </c>
    </row>
    <row r="91" spans="2:5" x14ac:dyDescent="0.35">
      <c r="B91" s="2">
        <v>44131</v>
      </c>
      <c r="C91" s="3" t="s">
        <v>86</v>
      </c>
      <c r="D91" s="3">
        <v>1</v>
      </c>
      <c r="E91" s="3" t="s">
        <v>6</v>
      </c>
    </row>
    <row r="92" spans="2:5" x14ac:dyDescent="0.35">
      <c r="B92" s="2">
        <v>44132</v>
      </c>
      <c r="C92" s="3" t="s">
        <v>27</v>
      </c>
      <c r="D92" s="3">
        <v>1</v>
      </c>
      <c r="E92" s="3" t="s">
        <v>6</v>
      </c>
    </row>
    <row r="93" spans="2:5" x14ac:dyDescent="0.35">
      <c r="B93" s="2">
        <v>44132</v>
      </c>
      <c r="C93" s="3" t="s">
        <v>87</v>
      </c>
      <c r="D93" s="3">
        <v>1</v>
      </c>
      <c r="E93" s="3" t="s">
        <v>23</v>
      </c>
    </row>
    <row r="94" spans="2:5" x14ac:dyDescent="0.35">
      <c r="B94" s="2">
        <v>44133</v>
      </c>
      <c r="C94" s="3" t="s">
        <v>84</v>
      </c>
      <c r="D94" s="3">
        <v>1</v>
      </c>
      <c r="E94" s="3" t="s">
        <v>12</v>
      </c>
    </row>
    <row r="95" spans="2:5" x14ac:dyDescent="0.35">
      <c r="B95" s="2">
        <v>44133</v>
      </c>
      <c r="C95" s="3" t="s">
        <v>88</v>
      </c>
      <c r="D95" s="3">
        <v>2</v>
      </c>
      <c r="E95" s="3" t="s">
        <v>23</v>
      </c>
    </row>
    <row r="96" spans="2:5" x14ac:dyDescent="0.35">
      <c r="B96" s="2">
        <v>44133</v>
      </c>
      <c r="C96" s="3" t="s">
        <v>85</v>
      </c>
      <c r="D96" s="3">
        <v>1</v>
      </c>
      <c r="E96" s="3" t="s">
        <v>23</v>
      </c>
    </row>
    <row r="97" spans="2:5" x14ac:dyDescent="0.35">
      <c r="B97" s="2">
        <v>44133</v>
      </c>
      <c r="C97" s="3" t="s">
        <v>89</v>
      </c>
      <c r="D97" s="3">
        <v>1</v>
      </c>
      <c r="E97" s="3" t="s">
        <v>6</v>
      </c>
    </row>
    <row r="98" spans="2:5" x14ac:dyDescent="0.35">
      <c r="B98" s="25">
        <v>44133</v>
      </c>
      <c r="C98" s="26" t="s">
        <v>90</v>
      </c>
      <c r="D98" s="3">
        <v>1</v>
      </c>
      <c r="E98" s="26" t="s">
        <v>6</v>
      </c>
    </row>
    <row r="99" spans="2:5" x14ac:dyDescent="0.35">
      <c r="B99" s="2">
        <v>44134</v>
      </c>
      <c r="C99" s="3" t="s">
        <v>84</v>
      </c>
      <c r="D99" s="3">
        <v>4</v>
      </c>
      <c r="E99" s="3" t="s">
        <v>12</v>
      </c>
    </row>
    <row r="100" spans="2:5" x14ac:dyDescent="0.35">
      <c r="B100" s="2">
        <v>44134</v>
      </c>
      <c r="C100" s="3" t="s">
        <v>79</v>
      </c>
      <c r="D100" s="3">
        <v>1</v>
      </c>
      <c r="E100" s="3" t="s">
        <v>78</v>
      </c>
    </row>
    <row r="101" spans="2:5" x14ac:dyDescent="0.35">
      <c r="B101" s="2">
        <v>44134</v>
      </c>
      <c r="C101" s="3" t="s">
        <v>87</v>
      </c>
      <c r="D101" s="3">
        <v>1</v>
      </c>
      <c r="E101" s="3" t="s">
        <v>23</v>
      </c>
    </row>
    <row r="102" spans="2:5" x14ac:dyDescent="0.35">
      <c r="B102" s="2">
        <v>44137</v>
      </c>
      <c r="C102" s="3" t="s">
        <v>84</v>
      </c>
      <c r="D102" s="3">
        <v>26</v>
      </c>
      <c r="E102" s="3" t="s">
        <v>12</v>
      </c>
    </row>
    <row r="103" spans="2:5" x14ac:dyDescent="0.35">
      <c r="B103" s="2">
        <v>44138</v>
      </c>
      <c r="C103" s="3" t="s">
        <v>91</v>
      </c>
      <c r="D103" s="3">
        <v>1</v>
      </c>
      <c r="E103" s="3" t="s">
        <v>23</v>
      </c>
    </row>
    <row r="104" spans="2:5" x14ac:dyDescent="0.35">
      <c r="B104" s="2">
        <v>44138</v>
      </c>
      <c r="C104" s="3" t="s">
        <v>92</v>
      </c>
      <c r="D104" s="3">
        <v>2</v>
      </c>
      <c r="E104" s="3" t="s">
        <v>6</v>
      </c>
    </row>
    <row r="105" spans="2:5" x14ac:dyDescent="0.35">
      <c r="B105" s="2">
        <v>44138</v>
      </c>
      <c r="C105" s="3" t="s">
        <v>84</v>
      </c>
      <c r="D105" s="3">
        <v>1</v>
      </c>
      <c r="E105" s="3" t="s">
        <v>12</v>
      </c>
    </row>
    <row r="106" spans="2:5" x14ac:dyDescent="0.35">
      <c r="B106" s="2">
        <v>44138</v>
      </c>
      <c r="C106" s="3" t="s">
        <v>93</v>
      </c>
      <c r="D106" s="3">
        <v>2</v>
      </c>
      <c r="E106" s="3" t="s">
        <v>23</v>
      </c>
    </row>
    <row r="107" spans="2:5" x14ac:dyDescent="0.35">
      <c r="B107" s="2">
        <v>44139</v>
      </c>
      <c r="C107" s="3" t="s">
        <v>94</v>
      </c>
      <c r="D107" s="3">
        <v>1</v>
      </c>
      <c r="E107" s="3" t="s">
        <v>23</v>
      </c>
    </row>
    <row r="108" spans="2:5" x14ac:dyDescent="0.35">
      <c r="B108" s="2">
        <v>44139</v>
      </c>
      <c r="C108" s="26" t="s">
        <v>95</v>
      </c>
      <c r="D108" s="26">
        <v>2</v>
      </c>
      <c r="E108" s="26" t="s">
        <v>6</v>
      </c>
    </row>
    <row r="109" spans="2:5" x14ac:dyDescent="0.35">
      <c r="B109" s="2">
        <v>44139</v>
      </c>
      <c r="C109" s="26" t="s">
        <v>84</v>
      </c>
      <c r="D109" s="26">
        <v>1</v>
      </c>
      <c r="E109" s="26" t="s">
        <v>12</v>
      </c>
    </row>
    <row r="110" spans="2:5" x14ac:dyDescent="0.35">
      <c r="B110" s="2">
        <v>44139</v>
      </c>
      <c r="C110" s="26" t="s">
        <v>96</v>
      </c>
      <c r="D110" s="26">
        <v>2</v>
      </c>
      <c r="E110" s="26" t="s">
        <v>6</v>
      </c>
    </row>
    <row r="111" spans="2:5" x14ac:dyDescent="0.35">
      <c r="B111" s="2">
        <v>44139</v>
      </c>
      <c r="C111" s="3" t="s">
        <v>27</v>
      </c>
      <c r="D111" s="3">
        <v>1</v>
      </c>
      <c r="E111" s="3" t="s">
        <v>6</v>
      </c>
    </row>
    <row r="112" spans="2:5" x14ac:dyDescent="0.35">
      <c r="B112" s="2">
        <v>44139</v>
      </c>
      <c r="C112" s="3" t="s">
        <v>58</v>
      </c>
      <c r="D112" s="3">
        <v>2</v>
      </c>
      <c r="E112" s="3" t="s">
        <v>23</v>
      </c>
    </row>
    <row r="113" spans="2:5" x14ac:dyDescent="0.35">
      <c r="B113" s="2">
        <v>44139</v>
      </c>
      <c r="C113" s="3" t="s">
        <v>84</v>
      </c>
      <c r="D113" s="3">
        <v>8</v>
      </c>
      <c r="E113" s="3" t="s">
        <v>12</v>
      </c>
    </row>
    <row r="114" spans="2:5" x14ac:dyDescent="0.35">
      <c r="B114" s="2">
        <v>44140</v>
      </c>
      <c r="C114" s="3" t="s">
        <v>115</v>
      </c>
      <c r="D114" s="3">
        <v>2</v>
      </c>
      <c r="E114" s="3" t="s">
        <v>12</v>
      </c>
    </row>
    <row r="115" spans="2:5" x14ac:dyDescent="0.35">
      <c r="B115" s="2">
        <v>44144</v>
      </c>
      <c r="C115" s="3" t="s">
        <v>58</v>
      </c>
      <c r="D115" s="3">
        <v>1</v>
      </c>
      <c r="E115" s="3" t="s">
        <v>23</v>
      </c>
    </row>
    <row r="116" spans="2:5" x14ac:dyDescent="0.35">
      <c r="B116" s="2">
        <v>44144</v>
      </c>
      <c r="C116" s="3" t="s">
        <v>84</v>
      </c>
      <c r="D116" s="3">
        <v>2</v>
      </c>
      <c r="E116" s="3" t="s">
        <v>12</v>
      </c>
    </row>
    <row r="117" spans="2:5" x14ac:dyDescent="0.35">
      <c r="B117" s="2">
        <v>44140</v>
      </c>
      <c r="C117" s="3" t="s">
        <v>116</v>
      </c>
      <c r="D117" s="3">
        <v>1</v>
      </c>
      <c r="E117" s="3" t="s">
        <v>6</v>
      </c>
    </row>
    <row r="118" spans="2:5" x14ac:dyDescent="0.35">
      <c r="B118" s="2">
        <v>44146</v>
      </c>
      <c r="C118" s="3" t="s">
        <v>116</v>
      </c>
      <c r="D118" s="3">
        <v>1</v>
      </c>
      <c r="E118" s="3" t="s">
        <v>6</v>
      </c>
    </row>
    <row r="119" spans="2:5" x14ac:dyDescent="0.35">
      <c r="B119" s="2">
        <v>44146</v>
      </c>
      <c r="C119" s="3" t="s">
        <v>117</v>
      </c>
      <c r="D119" s="3">
        <v>1</v>
      </c>
      <c r="E119" s="3" t="s">
        <v>6</v>
      </c>
    </row>
    <row r="120" spans="2:5" x14ac:dyDescent="0.35">
      <c r="B120" s="2">
        <v>44146</v>
      </c>
      <c r="C120" s="3" t="s">
        <v>118</v>
      </c>
      <c r="D120" s="3">
        <v>2</v>
      </c>
      <c r="E120" s="3" t="s">
        <v>23</v>
      </c>
    </row>
    <row r="121" spans="2:5" x14ac:dyDescent="0.35">
      <c r="B121" s="2">
        <v>44146</v>
      </c>
      <c r="C121" s="3" t="s">
        <v>84</v>
      </c>
      <c r="D121" s="3">
        <v>2</v>
      </c>
      <c r="E121" s="3" t="s">
        <v>12</v>
      </c>
    </row>
    <row r="122" spans="2:5" x14ac:dyDescent="0.35">
      <c r="B122" s="2">
        <v>44146</v>
      </c>
      <c r="C122" s="3" t="s">
        <v>119</v>
      </c>
      <c r="D122" s="3">
        <v>1</v>
      </c>
      <c r="E122" s="3" t="s">
        <v>6</v>
      </c>
    </row>
    <row r="123" spans="2:5" x14ac:dyDescent="0.35">
      <c r="B123" s="2">
        <v>44147</v>
      </c>
      <c r="C123" s="3" t="s">
        <v>84</v>
      </c>
      <c r="D123" s="3">
        <v>2</v>
      </c>
      <c r="E123" s="3" t="s">
        <v>12</v>
      </c>
    </row>
    <row r="124" spans="2:5" x14ac:dyDescent="0.35">
      <c r="B124" s="2">
        <v>44148</v>
      </c>
      <c r="C124" s="3" t="s">
        <v>120</v>
      </c>
      <c r="D124" s="3">
        <v>1</v>
      </c>
      <c r="E124" s="3" t="s">
        <v>6</v>
      </c>
    </row>
    <row r="125" spans="2:5" x14ac:dyDescent="0.35">
      <c r="B125" s="2">
        <v>44148</v>
      </c>
      <c r="C125" s="3" t="s">
        <v>84</v>
      </c>
      <c r="D125" s="3">
        <v>5</v>
      </c>
      <c r="E125" s="3" t="s">
        <v>12</v>
      </c>
    </row>
    <row r="126" spans="2:5" x14ac:dyDescent="0.35">
      <c r="B126" s="2">
        <v>44152</v>
      </c>
      <c r="C126" s="3" t="s">
        <v>70</v>
      </c>
      <c r="D126" s="3">
        <v>1</v>
      </c>
      <c r="E126" s="3" t="s">
        <v>6</v>
      </c>
    </row>
    <row r="127" spans="2:5" x14ac:dyDescent="0.35">
      <c r="B127" s="2">
        <v>44152</v>
      </c>
      <c r="C127" s="3" t="s">
        <v>84</v>
      </c>
      <c r="D127" s="3">
        <v>3</v>
      </c>
      <c r="E127" s="3" t="s">
        <v>12</v>
      </c>
    </row>
    <row r="128" spans="2:5" x14ac:dyDescent="0.35">
      <c r="B128" s="2">
        <v>44152</v>
      </c>
      <c r="C128" s="3" t="s">
        <v>121</v>
      </c>
      <c r="D128" s="3">
        <v>1</v>
      </c>
      <c r="E128" s="3" t="s">
        <v>23</v>
      </c>
    </row>
    <row r="129" spans="2:5" x14ac:dyDescent="0.35">
      <c r="B129" s="2">
        <v>44153</v>
      </c>
      <c r="C129" s="3" t="s">
        <v>84</v>
      </c>
      <c r="D129" s="3">
        <v>3</v>
      </c>
      <c r="E129" s="3" t="s">
        <v>12</v>
      </c>
    </row>
    <row r="130" spans="2:5" x14ac:dyDescent="0.35">
      <c r="B130" s="2">
        <v>44154</v>
      </c>
      <c r="C130" s="3" t="s">
        <v>116</v>
      </c>
      <c r="D130" s="3">
        <v>1</v>
      </c>
      <c r="E130" s="3" t="s">
        <v>6</v>
      </c>
    </row>
    <row r="131" spans="2:5" x14ac:dyDescent="0.35">
      <c r="B131" s="2">
        <v>44154</v>
      </c>
      <c r="C131" s="3" t="s">
        <v>75</v>
      </c>
      <c r="D131" s="3">
        <v>1</v>
      </c>
      <c r="E131" s="3" t="s">
        <v>6</v>
      </c>
    </row>
    <row r="132" spans="2:5" x14ac:dyDescent="0.35">
      <c r="B132" s="2">
        <v>44154</v>
      </c>
      <c r="C132" s="3" t="s">
        <v>58</v>
      </c>
      <c r="D132" s="3">
        <v>1</v>
      </c>
      <c r="E132" s="3" t="s">
        <v>23</v>
      </c>
    </row>
    <row r="133" spans="2:5" x14ac:dyDescent="0.35">
      <c r="B133" s="2">
        <v>44155</v>
      </c>
      <c r="C133" s="3" t="s">
        <v>58</v>
      </c>
      <c r="D133" s="3">
        <v>1</v>
      </c>
      <c r="E133" s="3" t="s">
        <v>23</v>
      </c>
    </row>
    <row r="134" spans="2:5" x14ac:dyDescent="0.35">
      <c r="B134" s="2">
        <v>44158</v>
      </c>
      <c r="C134" s="3" t="s">
        <v>122</v>
      </c>
      <c r="D134" s="3">
        <v>1</v>
      </c>
      <c r="E134" s="3" t="s">
        <v>23</v>
      </c>
    </row>
    <row r="135" spans="2:5" x14ac:dyDescent="0.35">
      <c r="B135" s="2">
        <v>44158</v>
      </c>
      <c r="C135" s="3" t="s">
        <v>123</v>
      </c>
      <c r="D135" s="3">
        <v>1</v>
      </c>
      <c r="E135" s="3" t="s">
        <v>23</v>
      </c>
    </row>
    <row r="136" spans="2:5" x14ac:dyDescent="0.35">
      <c r="B136" s="2">
        <v>44158</v>
      </c>
      <c r="C136" s="3" t="s">
        <v>124</v>
      </c>
      <c r="D136" s="3">
        <v>1</v>
      </c>
      <c r="E136" s="3" t="s">
        <v>6</v>
      </c>
    </row>
    <row r="137" spans="2:5" x14ac:dyDescent="0.35">
      <c r="B137" s="2">
        <v>44159</v>
      </c>
      <c r="C137" s="3" t="s">
        <v>58</v>
      </c>
      <c r="D137" s="3">
        <v>2</v>
      </c>
      <c r="E137" s="3" t="s">
        <v>23</v>
      </c>
    </row>
    <row r="138" spans="2:5" x14ac:dyDescent="0.35">
      <c r="B138" s="2">
        <v>44160</v>
      </c>
      <c r="C138" s="3" t="s">
        <v>125</v>
      </c>
      <c r="D138" s="3">
        <v>1</v>
      </c>
      <c r="E138" s="3" t="s">
        <v>6</v>
      </c>
    </row>
    <row r="139" spans="2:5" x14ac:dyDescent="0.35">
      <c r="B139" s="2">
        <v>44160</v>
      </c>
      <c r="C139" s="3" t="s">
        <v>126</v>
      </c>
      <c r="D139" s="3">
        <v>2</v>
      </c>
      <c r="E139" s="3" t="s">
        <v>23</v>
      </c>
    </row>
    <row r="140" spans="2:5" x14ac:dyDescent="0.35">
      <c r="B140" s="2">
        <v>44161</v>
      </c>
      <c r="C140" s="3" t="s">
        <v>126</v>
      </c>
      <c r="D140" s="3">
        <v>3</v>
      </c>
      <c r="E140" s="3" t="s">
        <v>23</v>
      </c>
    </row>
    <row r="141" spans="2:5" x14ac:dyDescent="0.35">
      <c r="B141" s="2">
        <v>44161</v>
      </c>
      <c r="C141" s="3" t="s">
        <v>58</v>
      </c>
      <c r="D141" s="3">
        <v>2</v>
      </c>
      <c r="E141" s="3" t="s">
        <v>23</v>
      </c>
    </row>
    <row r="142" spans="2:5" x14ac:dyDescent="0.35">
      <c r="B142" s="2">
        <v>44161</v>
      </c>
      <c r="C142" s="3" t="s">
        <v>127</v>
      </c>
      <c r="D142" s="3">
        <v>2</v>
      </c>
      <c r="E142" s="3" t="s">
        <v>6</v>
      </c>
    </row>
    <row r="143" spans="2:5" x14ac:dyDescent="0.35">
      <c r="B143" s="2">
        <v>44161</v>
      </c>
      <c r="C143" s="3" t="s">
        <v>128</v>
      </c>
      <c r="D143" s="3">
        <v>2</v>
      </c>
      <c r="E143" s="3" t="s">
        <v>23</v>
      </c>
    </row>
    <row r="144" spans="2:5" x14ac:dyDescent="0.35">
      <c r="B144" s="2">
        <v>44162</v>
      </c>
      <c r="C144" s="3" t="s">
        <v>126</v>
      </c>
      <c r="D144" s="3">
        <v>3</v>
      </c>
      <c r="E144" s="3" t="s">
        <v>23</v>
      </c>
    </row>
    <row r="145" spans="2:5" x14ac:dyDescent="0.35">
      <c r="B145" s="2">
        <v>44162</v>
      </c>
      <c r="C145" s="3" t="s">
        <v>58</v>
      </c>
      <c r="D145" s="3">
        <v>2</v>
      </c>
      <c r="E145" s="3" t="s">
        <v>23</v>
      </c>
    </row>
    <row r="146" spans="2:5" x14ac:dyDescent="0.35">
      <c r="B146" s="2">
        <v>44165</v>
      </c>
      <c r="C146" s="3" t="s">
        <v>129</v>
      </c>
      <c r="D146" s="3">
        <v>4</v>
      </c>
      <c r="E146" s="3" t="s">
        <v>6</v>
      </c>
    </row>
    <row r="147" spans="2:5" x14ac:dyDescent="0.35">
      <c r="B147" s="2">
        <v>44165</v>
      </c>
      <c r="C147" s="3" t="s">
        <v>130</v>
      </c>
      <c r="D147" s="3">
        <v>1</v>
      </c>
      <c r="E147" s="3" t="s">
        <v>6</v>
      </c>
    </row>
    <row r="148" spans="2:5" x14ac:dyDescent="0.35">
      <c r="B148" s="2">
        <v>44166</v>
      </c>
      <c r="C148" s="3" t="s">
        <v>71</v>
      </c>
      <c r="D148" s="3">
        <v>3</v>
      </c>
      <c r="E148" s="3" t="s">
        <v>6</v>
      </c>
    </row>
    <row r="149" spans="2:5" x14ac:dyDescent="0.35">
      <c r="B149" s="2">
        <v>44167</v>
      </c>
      <c r="C149" s="3" t="s">
        <v>71</v>
      </c>
      <c r="D149" s="3">
        <v>1</v>
      </c>
      <c r="E149" s="3" t="s">
        <v>6</v>
      </c>
    </row>
    <row r="150" spans="2:5" x14ac:dyDescent="0.35">
      <c r="B150" s="2">
        <v>44167</v>
      </c>
      <c r="C150" s="3" t="s">
        <v>58</v>
      </c>
      <c r="D150" s="3">
        <v>1</v>
      </c>
      <c r="E150" s="3" t="s">
        <v>23</v>
      </c>
    </row>
    <row r="151" spans="2:5" x14ac:dyDescent="0.35">
      <c r="B151" s="2">
        <v>44167</v>
      </c>
      <c r="C151" s="3" t="s">
        <v>71</v>
      </c>
      <c r="D151" s="3">
        <v>1</v>
      </c>
      <c r="E151" s="3" t="s">
        <v>23</v>
      </c>
    </row>
    <row r="152" spans="2:5" x14ac:dyDescent="0.35">
      <c r="B152" s="2">
        <v>44168</v>
      </c>
      <c r="C152" s="3" t="s">
        <v>58</v>
      </c>
      <c r="D152" s="3">
        <v>1</v>
      </c>
      <c r="E152" s="3" t="s">
        <v>23</v>
      </c>
    </row>
    <row r="153" spans="2:5" x14ac:dyDescent="0.35">
      <c r="B153" s="2">
        <v>44168</v>
      </c>
      <c r="C153" s="3" t="s">
        <v>71</v>
      </c>
      <c r="D153" s="3">
        <v>2</v>
      </c>
      <c r="E153" s="3" t="s">
        <v>23</v>
      </c>
    </row>
    <row r="154" spans="2:5" x14ac:dyDescent="0.35">
      <c r="B154" s="2">
        <v>44169</v>
      </c>
      <c r="C154" s="3" t="s">
        <v>71</v>
      </c>
      <c r="D154" s="3">
        <v>2</v>
      </c>
      <c r="E154" s="3" t="s">
        <v>23</v>
      </c>
    </row>
    <row r="155" spans="2:5" x14ac:dyDescent="0.35">
      <c r="B155" s="2"/>
      <c r="C155" s="3"/>
      <c r="D155" s="3"/>
      <c r="E155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6CC8-AC9C-4EC2-915F-11EDEB3E892F}">
  <sheetPr codeName="Sheet8"/>
  <dimension ref="B2:K155"/>
  <sheetViews>
    <sheetView showGridLines="0" tabSelected="1" topLeftCell="A9" zoomScale="80" zoomScaleNormal="80" workbookViewId="0">
      <selection activeCell="B3" sqref="B3:E37"/>
    </sheetView>
  </sheetViews>
  <sheetFormatPr defaultRowHeight="14.5" x14ac:dyDescent="0.35"/>
  <cols>
    <col min="2" max="2" width="11.54296875" style="1" bestFit="1" customWidth="1"/>
    <col min="3" max="3" width="37.26953125" bestFit="1" customWidth="1"/>
    <col min="4" max="4" width="9.1796875" bestFit="1" customWidth="1"/>
    <col min="5" max="5" width="8.7265625" bestFit="1" customWidth="1"/>
    <col min="7" max="7" width="10.81640625" customWidth="1"/>
    <col min="8" max="8" width="9.7265625" bestFit="1" customWidth="1"/>
    <col min="9" max="9" width="9.1796875" customWidth="1"/>
    <col min="10" max="10" width="11.1796875" customWidth="1"/>
    <col min="11" max="11" width="11.26953125" bestFit="1" customWidth="1"/>
    <col min="12" max="14" width="9.1796875" customWidth="1"/>
  </cols>
  <sheetData>
    <row r="2" spans="2:11" x14ac:dyDescent="0.35">
      <c r="B2" s="20" t="s">
        <v>17</v>
      </c>
      <c r="C2" s="13" t="s">
        <v>18</v>
      </c>
      <c r="D2" s="13" t="s">
        <v>19</v>
      </c>
      <c r="E2" s="13" t="s">
        <v>20</v>
      </c>
      <c r="J2" s="7" t="s">
        <v>21</v>
      </c>
      <c r="K2" s="8">
        <f>B23-30</f>
        <v>44231</v>
      </c>
    </row>
    <row r="3" spans="2:11" x14ac:dyDescent="0.35">
      <c r="B3" s="11">
        <v>44256</v>
      </c>
      <c r="C3" s="13" t="s">
        <v>131</v>
      </c>
      <c r="D3" s="13">
        <v>5</v>
      </c>
      <c r="E3" s="24" t="s">
        <v>6</v>
      </c>
      <c r="J3" s="9"/>
      <c r="K3" s="10"/>
    </row>
    <row r="4" spans="2:11" x14ac:dyDescent="0.35">
      <c r="B4" s="11">
        <v>44256</v>
      </c>
      <c r="C4" s="13" t="s">
        <v>132</v>
      </c>
      <c r="D4" s="13">
        <v>2</v>
      </c>
      <c r="E4" s="24" t="s">
        <v>23</v>
      </c>
      <c r="J4" s="9"/>
      <c r="K4" s="10"/>
    </row>
    <row r="5" spans="2:11" x14ac:dyDescent="0.35">
      <c r="B5" s="11">
        <v>44256</v>
      </c>
      <c r="C5" s="13" t="s">
        <v>136</v>
      </c>
      <c r="D5" s="13">
        <v>1</v>
      </c>
      <c r="E5" s="24" t="s">
        <v>12</v>
      </c>
      <c r="J5" s="9"/>
      <c r="K5" s="10"/>
    </row>
    <row r="6" spans="2:11" x14ac:dyDescent="0.35">
      <c r="B6" s="11">
        <v>44256</v>
      </c>
      <c r="C6" s="13" t="s">
        <v>133</v>
      </c>
      <c r="D6" s="13">
        <v>2</v>
      </c>
      <c r="E6" s="24" t="s">
        <v>12</v>
      </c>
      <c r="J6" s="9"/>
      <c r="K6" s="10"/>
    </row>
    <row r="7" spans="2:11" x14ac:dyDescent="0.35">
      <c r="B7" s="11">
        <v>44257</v>
      </c>
      <c r="C7" s="13" t="s">
        <v>134</v>
      </c>
      <c r="D7" s="13">
        <v>1</v>
      </c>
      <c r="E7" s="24" t="s">
        <v>23</v>
      </c>
      <c r="J7" s="9"/>
      <c r="K7" s="10"/>
    </row>
    <row r="8" spans="2:11" x14ac:dyDescent="0.35">
      <c r="B8" s="11">
        <v>44257</v>
      </c>
      <c r="C8" s="13" t="s">
        <v>135</v>
      </c>
      <c r="D8" s="13">
        <v>1</v>
      </c>
      <c r="E8" s="24" t="s">
        <v>6</v>
      </c>
      <c r="J8" s="9"/>
      <c r="K8" s="10"/>
    </row>
    <row r="9" spans="2:11" x14ac:dyDescent="0.35">
      <c r="B9" s="11">
        <v>44257</v>
      </c>
      <c r="C9" s="13" t="s">
        <v>137</v>
      </c>
      <c r="D9" s="13">
        <v>3</v>
      </c>
      <c r="E9" s="24" t="s">
        <v>12</v>
      </c>
      <c r="J9" s="9"/>
      <c r="K9" s="10"/>
    </row>
    <row r="10" spans="2:11" x14ac:dyDescent="0.35">
      <c r="B10" s="11">
        <v>44258</v>
      </c>
      <c r="C10" s="13" t="s">
        <v>138</v>
      </c>
      <c r="D10" s="13">
        <v>1</v>
      </c>
      <c r="E10" s="24" t="s">
        <v>6</v>
      </c>
      <c r="J10" s="9"/>
      <c r="K10" s="10"/>
    </row>
    <row r="11" spans="2:11" x14ac:dyDescent="0.35">
      <c r="B11" s="11">
        <v>44258</v>
      </c>
      <c r="C11" s="13" t="s">
        <v>134</v>
      </c>
      <c r="D11" s="13">
        <v>1</v>
      </c>
      <c r="E11" s="24" t="s">
        <v>23</v>
      </c>
      <c r="J11" s="9"/>
      <c r="K11" s="10"/>
    </row>
    <row r="12" spans="2:11" x14ac:dyDescent="0.35">
      <c r="B12" s="11">
        <v>44258</v>
      </c>
      <c r="C12" s="13" t="s">
        <v>139</v>
      </c>
      <c r="D12" s="13">
        <v>2</v>
      </c>
      <c r="E12" s="24" t="s">
        <v>23</v>
      </c>
      <c r="J12" s="9"/>
      <c r="K12" s="10"/>
    </row>
    <row r="13" spans="2:11" x14ac:dyDescent="0.35">
      <c r="B13" s="11">
        <v>44258</v>
      </c>
      <c r="C13" s="13" t="s">
        <v>140</v>
      </c>
      <c r="D13" s="13">
        <v>2</v>
      </c>
      <c r="E13" s="24" t="s">
        <v>23</v>
      </c>
      <c r="J13" s="9"/>
      <c r="K13" s="10"/>
    </row>
    <row r="14" spans="2:11" x14ac:dyDescent="0.35">
      <c r="B14" s="11">
        <v>44258</v>
      </c>
      <c r="C14" s="13" t="s">
        <v>141</v>
      </c>
      <c r="D14" s="13">
        <v>3</v>
      </c>
      <c r="E14" s="24" t="s">
        <v>12</v>
      </c>
      <c r="J14" s="9"/>
      <c r="K14" s="10"/>
    </row>
    <row r="15" spans="2:11" x14ac:dyDescent="0.35">
      <c r="B15" s="11">
        <v>44258</v>
      </c>
      <c r="C15" s="13" t="s">
        <v>142</v>
      </c>
      <c r="D15" s="13">
        <v>2</v>
      </c>
      <c r="E15" s="24" t="s">
        <v>6</v>
      </c>
      <c r="J15" s="9"/>
      <c r="K15" s="10"/>
    </row>
    <row r="16" spans="2:11" x14ac:dyDescent="0.35">
      <c r="B16" s="11">
        <v>44259</v>
      </c>
      <c r="C16" s="13" t="s">
        <v>143</v>
      </c>
      <c r="D16" s="13">
        <v>1</v>
      </c>
      <c r="E16" s="24" t="s">
        <v>6</v>
      </c>
      <c r="J16" s="9"/>
      <c r="K16" s="10"/>
    </row>
    <row r="17" spans="2:11" x14ac:dyDescent="0.35">
      <c r="B17" s="11">
        <v>44259</v>
      </c>
      <c r="C17" s="13" t="s">
        <v>144</v>
      </c>
      <c r="D17" s="13">
        <v>1</v>
      </c>
      <c r="E17" s="24" t="s">
        <v>23</v>
      </c>
      <c r="J17" s="9"/>
      <c r="K17" s="10"/>
    </row>
    <row r="18" spans="2:11" x14ac:dyDescent="0.35">
      <c r="B18" s="11">
        <v>44259</v>
      </c>
      <c r="C18" s="13" t="s">
        <v>145</v>
      </c>
      <c r="D18" s="13">
        <v>1</v>
      </c>
      <c r="E18" s="24" t="s">
        <v>6</v>
      </c>
      <c r="J18" s="9"/>
      <c r="K18" s="10"/>
    </row>
    <row r="19" spans="2:11" x14ac:dyDescent="0.35">
      <c r="B19" s="11">
        <v>44260</v>
      </c>
      <c r="C19" s="13" t="s">
        <v>146</v>
      </c>
      <c r="D19" s="13">
        <v>2</v>
      </c>
      <c r="E19" s="24" t="s">
        <v>6</v>
      </c>
      <c r="J19" s="9"/>
      <c r="K19" s="10"/>
    </row>
    <row r="20" spans="2:11" x14ac:dyDescent="0.35">
      <c r="B20" s="11">
        <v>44260</v>
      </c>
      <c r="C20" s="13" t="s">
        <v>147</v>
      </c>
      <c r="D20" s="13">
        <v>1</v>
      </c>
      <c r="E20" s="24" t="s">
        <v>23</v>
      </c>
      <c r="J20" s="9"/>
      <c r="K20" s="10"/>
    </row>
    <row r="21" spans="2:11" x14ac:dyDescent="0.35">
      <c r="B21" s="11">
        <v>44260</v>
      </c>
      <c r="C21" s="13" t="s">
        <v>148</v>
      </c>
      <c r="D21" s="13">
        <v>2</v>
      </c>
      <c r="E21" s="24" t="s">
        <v>12</v>
      </c>
      <c r="J21" s="9"/>
      <c r="K21" s="10"/>
    </row>
    <row r="22" spans="2:11" x14ac:dyDescent="0.35">
      <c r="B22" s="11">
        <v>44260</v>
      </c>
      <c r="C22" s="13" t="s">
        <v>149</v>
      </c>
      <c r="D22" s="13">
        <v>1</v>
      </c>
      <c r="E22" s="24" t="s">
        <v>12</v>
      </c>
      <c r="J22" s="9"/>
      <c r="K22" s="10"/>
    </row>
    <row r="23" spans="2:11" x14ac:dyDescent="0.35">
      <c r="B23" s="11">
        <v>44261</v>
      </c>
      <c r="C23" s="3" t="s">
        <v>150</v>
      </c>
      <c r="D23" s="3">
        <v>2</v>
      </c>
      <c r="E23" s="12" t="s">
        <v>23</v>
      </c>
      <c r="G23" s="1"/>
      <c r="H23" s="1"/>
      <c r="J23" s="9"/>
      <c r="K23" s="10"/>
    </row>
    <row r="24" spans="2:11" x14ac:dyDescent="0.35">
      <c r="B24" s="11">
        <v>44263</v>
      </c>
      <c r="C24" s="3" t="s">
        <v>151</v>
      </c>
      <c r="D24" s="3">
        <v>2</v>
      </c>
      <c r="E24" s="12" t="s">
        <v>6</v>
      </c>
    </row>
    <row r="25" spans="2:11" x14ac:dyDescent="0.35">
      <c r="B25" s="11">
        <v>44264</v>
      </c>
      <c r="C25" s="3" t="s">
        <v>152</v>
      </c>
      <c r="D25" s="3">
        <v>2</v>
      </c>
      <c r="E25" s="12" t="s">
        <v>6</v>
      </c>
    </row>
    <row r="26" spans="2:11" x14ac:dyDescent="0.35">
      <c r="B26" s="11">
        <v>44264</v>
      </c>
      <c r="C26" s="3" t="s">
        <v>148</v>
      </c>
      <c r="D26" s="3">
        <v>1</v>
      </c>
      <c r="E26" s="3" t="s">
        <v>12</v>
      </c>
    </row>
    <row r="27" spans="2:11" x14ac:dyDescent="0.35">
      <c r="B27" s="11">
        <v>44264</v>
      </c>
      <c r="C27" s="3" t="s">
        <v>153</v>
      </c>
      <c r="D27" s="3">
        <v>1</v>
      </c>
      <c r="E27" s="3" t="s">
        <v>12</v>
      </c>
    </row>
    <row r="28" spans="2:11" x14ac:dyDescent="0.35">
      <c r="B28" s="11">
        <v>44264</v>
      </c>
      <c r="C28" s="3" t="s">
        <v>154</v>
      </c>
      <c r="D28" s="3">
        <v>2</v>
      </c>
      <c r="E28" s="3" t="s">
        <v>12</v>
      </c>
    </row>
    <row r="29" spans="2:11" x14ac:dyDescent="0.35">
      <c r="B29" s="11">
        <v>44264</v>
      </c>
      <c r="C29" s="3" t="s">
        <v>155</v>
      </c>
      <c r="D29" s="3">
        <v>1</v>
      </c>
      <c r="E29" s="3" t="s">
        <v>12</v>
      </c>
    </row>
    <row r="30" spans="2:11" x14ac:dyDescent="0.35">
      <c r="B30" s="11">
        <v>44264</v>
      </c>
      <c r="C30" s="3" t="s">
        <v>156</v>
      </c>
      <c r="D30" s="3">
        <v>2</v>
      </c>
      <c r="E30" s="3" t="s">
        <v>6</v>
      </c>
    </row>
    <row r="31" spans="2:11" x14ac:dyDescent="0.35">
      <c r="B31" s="2">
        <v>44265</v>
      </c>
      <c r="C31" s="3" t="s">
        <v>157</v>
      </c>
      <c r="D31" s="3">
        <v>1</v>
      </c>
      <c r="E31" s="3" t="s">
        <v>6</v>
      </c>
    </row>
    <row r="32" spans="2:11" x14ac:dyDescent="0.35">
      <c r="B32" s="2">
        <v>44265</v>
      </c>
      <c r="C32" s="3" t="s">
        <v>158</v>
      </c>
      <c r="D32" s="3">
        <v>3</v>
      </c>
      <c r="E32" s="3" t="s">
        <v>12</v>
      </c>
    </row>
    <row r="33" spans="2:5" x14ac:dyDescent="0.35">
      <c r="B33" s="2">
        <v>44265</v>
      </c>
      <c r="C33" s="3" t="s">
        <v>159</v>
      </c>
      <c r="D33" s="3">
        <v>1</v>
      </c>
      <c r="E33" s="3" t="s">
        <v>6</v>
      </c>
    </row>
    <row r="34" spans="2:5" x14ac:dyDescent="0.35">
      <c r="B34" s="2">
        <v>44265</v>
      </c>
      <c r="C34" s="3" t="s">
        <v>160</v>
      </c>
      <c r="D34" s="3">
        <v>2</v>
      </c>
      <c r="E34" s="3" t="s">
        <v>12</v>
      </c>
    </row>
    <row r="35" spans="2:5" x14ac:dyDescent="0.35">
      <c r="B35" s="2">
        <v>44266</v>
      </c>
      <c r="C35" s="3" t="s">
        <v>143</v>
      </c>
      <c r="D35" s="3">
        <v>1</v>
      </c>
      <c r="E35" s="3" t="s">
        <v>6</v>
      </c>
    </row>
    <row r="36" spans="2:5" x14ac:dyDescent="0.35">
      <c r="B36" s="2">
        <v>44266</v>
      </c>
      <c r="C36" s="3" t="s">
        <v>134</v>
      </c>
      <c r="D36" s="3">
        <v>1</v>
      </c>
      <c r="E36" s="3" t="s">
        <v>23</v>
      </c>
    </row>
    <row r="37" spans="2:5" x14ac:dyDescent="0.35">
      <c r="B37" s="2">
        <v>44266</v>
      </c>
      <c r="C37" s="3" t="s">
        <v>159</v>
      </c>
      <c r="D37" s="3">
        <v>1</v>
      </c>
      <c r="E37" s="3" t="s">
        <v>6</v>
      </c>
    </row>
    <row r="38" spans="2:5" x14ac:dyDescent="0.35">
      <c r="B38" s="2"/>
      <c r="C38" s="3"/>
      <c r="D38" s="3"/>
      <c r="E38" s="3"/>
    </row>
    <row r="39" spans="2:5" x14ac:dyDescent="0.35">
      <c r="B39" s="2"/>
      <c r="C39" s="3"/>
      <c r="D39" s="3"/>
      <c r="E39" s="3"/>
    </row>
    <row r="40" spans="2:5" x14ac:dyDescent="0.35">
      <c r="B40" s="2"/>
      <c r="C40" s="3"/>
      <c r="D40" s="3"/>
      <c r="E40" s="3"/>
    </row>
    <row r="41" spans="2:5" x14ac:dyDescent="0.35">
      <c r="B41" s="2"/>
      <c r="C41" s="3"/>
      <c r="D41" s="3"/>
      <c r="E41" s="3"/>
    </row>
    <row r="42" spans="2:5" x14ac:dyDescent="0.35">
      <c r="B42" s="2"/>
      <c r="C42" s="3"/>
      <c r="D42" s="3"/>
      <c r="E42" s="3"/>
    </row>
    <row r="43" spans="2:5" x14ac:dyDescent="0.35">
      <c r="B43" s="2"/>
      <c r="C43" s="3"/>
      <c r="D43" s="3"/>
      <c r="E43" s="3"/>
    </row>
    <row r="44" spans="2:5" x14ac:dyDescent="0.35">
      <c r="B44" s="2"/>
      <c r="C44" s="3"/>
      <c r="D44" s="3"/>
      <c r="E44" s="3"/>
    </row>
    <row r="45" spans="2:5" x14ac:dyDescent="0.35">
      <c r="B45" s="2"/>
      <c r="C45" s="3"/>
      <c r="D45" s="3"/>
      <c r="E45" s="3"/>
    </row>
    <row r="46" spans="2:5" x14ac:dyDescent="0.35">
      <c r="B46" s="2"/>
      <c r="C46" s="3"/>
      <c r="D46" s="3"/>
      <c r="E46" s="3"/>
    </row>
    <row r="47" spans="2:5" x14ac:dyDescent="0.35">
      <c r="B47" s="2"/>
      <c r="C47" s="3"/>
      <c r="D47" s="3"/>
      <c r="E47" s="3"/>
    </row>
    <row r="48" spans="2:5" x14ac:dyDescent="0.35">
      <c r="B48" s="2"/>
      <c r="C48" s="3"/>
      <c r="D48" s="3"/>
      <c r="E48" s="3"/>
    </row>
    <row r="49" spans="2:5" x14ac:dyDescent="0.35">
      <c r="B49" s="2"/>
      <c r="C49" s="3"/>
      <c r="D49" s="3"/>
      <c r="E49" s="3"/>
    </row>
    <row r="50" spans="2:5" x14ac:dyDescent="0.35">
      <c r="B50" s="2"/>
      <c r="C50" s="3"/>
      <c r="D50" s="3"/>
      <c r="E50" s="3"/>
    </row>
    <row r="51" spans="2:5" x14ac:dyDescent="0.35">
      <c r="B51" s="2"/>
      <c r="C51" s="3"/>
      <c r="D51" s="3"/>
      <c r="E51" s="3"/>
    </row>
    <row r="52" spans="2:5" x14ac:dyDescent="0.35">
      <c r="B52" s="2"/>
      <c r="C52" s="3"/>
      <c r="D52" s="3"/>
      <c r="E52" s="3"/>
    </row>
    <row r="53" spans="2:5" x14ac:dyDescent="0.35">
      <c r="B53" s="2"/>
      <c r="C53" s="3"/>
      <c r="D53" s="3"/>
      <c r="E53" s="3"/>
    </row>
    <row r="54" spans="2:5" x14ac:dyDescent="0.35">
      <c r="B54" s="2"/>
      <c r="C54" s="3"/>
      <c r="D54" s="3"/>
      <c r="E54" s="3"/>
    </row>
    <row r="55" spans="2:5" x14ac:dyDescent="0.35">
      <c r="B55" s="2"/>
      <c r="C55" s="3"/>
      <c r="D55" s="3"/>
      <c r="E55" s="3"/>
    </row>
    <row r="56" spans="2:5" x14ac:dyDescent="0.35">
      <c r="B56" s="2"/>
      <c r="C56" s="3"/>
      <c r="D56" s="3"/>
      <c r="E56" s="3"/>
    </row>
    <row r="57" spans="2:5" x14ac:dyDescent="0.35">
      <c r="B57" s="2"/>
      <c r="C57" s="3"/>
      <c r="D57" s="3"/>
      <c r="E57" s="3"/>
    </row>
    <row r="58" spans="2:5" x14ac:dyDescent="0.35">
      <c r="B58" s="2"/>
      <c r="C58" s="3"/>
      <c r="D58" s="3"/>
      <c r="E58" s="3"/>
    </row>
    <row r="59" spans="2:5" x14ac:dyDescent="0.35">
      <c r="B59" s="2"/>
      <c r="C59" s="3"/>
      <c r="D59" s="3"/>
      <c r="E59" s="3"/>
    </row>
    <row r="60" spans="2:5" x14ac:dyDescent="0.35">
      <c r="B60" s="2"/>
      <c r="C60" s="3"/>
      <c r="D60" s="3"/>
      <c r="E60" s="3"/>
    </row>
    <row r="61" spans="2:5" x14ac:dyDescent="0.35">
      <c r="B61" s="2"/>
      <c r="C61" s="3"/>
      <c r="D61" s="3"/>
      <c r="E61" s="3"/>
    </row>
    <row r="62" spans="2:5" x14ac:dyDescent="0.35">
      <c r="B62" s="2"/>
      <c r="C62" s="3"/>
      <c r="D62" s="3"/>
      <c r="E62" s="3"/>
    </row>
    <row r="63" spans="2:5" x14ac:dyDescent="0.35">
      <c r="B63" s="2"/>
      <c r="C63" s="3"/>
      <c r="D63" s="3"/>
      <c r="E63" s="3"/>
    </row>
    <row r="64" spans="2:5" x14ac:dyDescent="0.35">
      <c r="B64" s="2"/>
      <c r="C64" s="3"/>
      <c r="D64" s="3"/>
      <c r="E64" s="3"/>
    </row>
    <row r="65" spans="2:5" x14ac:dyDescent="0.35">
      <c r="B65" s="2"/>
      <c r="C65" s="3"/>
      <c r="D65" s="3"/>
      <c r="E65" s="3"/>
    </row>
    <row r="66" spans="2:5" x14ac:dyDescent="0.35">
      <c r="B66" s="2"/>
      <c r="C66" s="3"/>
      <c r="D66" s="3"/>
      <c r="E66" s="3"/>
    </row>
    <row r="67" spans="2:5" x14ac:dyDescent="0.35">
      <c r="B67" s="2"/>
      <c r="C67" s="3"/>
      <c r="D67" s="3"/>
      <c r="E67" s="3"/>
    </row>
    <row r="68" spans="2:5" x14ac:dyDescent="0.35">
      <c r="B68" s="2"/>
      <c r="C68" s="3"/>
      <c r="D68" s="3"/>
      <c r="E68" s="3"/>
    </row>
    <row r="69" spans="2:5" x14ac:dyDescent="0.35">
      <c r="B69" s="2"/>
      <c r="C69" s="3"/>
      <c r="D69" s="3"/>
      <c r="E69" s="3"/>
    </row>
    <row r="70" spans="2:5" x14ac:dyDescent="0.35">
      <c r="B70" s="2"/>
      <c r="C70" s="3"/>
      <c r="D70" s="3"/>
      <c r="E70" s="3"/>
    </row>
    <row r="71" spans="2:5" x14ac:dyDescent="0.35">
      <c r="B71" s="2"/>
      <c r="C71" s="3"/>
      <c r="D71" s="3"/>
      <c r="E71" s="3"/>
    </row>
    <row r="72" spans="2:5" x14ac:dyDescent="0.35">
      <c r="B72" s="2"/>
      <c r="C72" s="3"/>
      <c r="D72" s="3"/>
      <c r="E72" s="3"/>
    </row>
    <row r="73" spans="2:5" x14ac:dyDescent="0.35">
      <c r="B73" s="2"/>
      <c r="C73" s="3"/>
      <c r="D73" s="3"/>
      <c r="E73" s="3"/>
    </row>
    <row r="74" spans="2:5" x14ac:dyDescent="0.35">
      <c r="B74" s="2"/>
      <c r="C74" s="3"/>
      <c r="D74" s="3"/>
      <c r="E74" s="3"/>
    </row>
    <row r="75" spans="2:5" x14ac:dyDescent="0.35">
      <c r="B75" s="2"/>
      <c r="C75" s="3"/>
      <c r="D75" s="3"/>
      <c r="E75" s="3"/>
    </row>
    <row r="76" spans="2:5" x14ac:dyDescent="0.35">
      <c r="B76" s="2"/>
      <c r="C76" s="3"/>
      <c r="D76" s="3"/>
      <c r="E76" s="3"/>
    </row>
    <row r="77" spans="2:5" x14ac:dyDescent="0.35">
      <c r="B77" s="2"/>
      <c r="C77" s="3"/>
      <c r="D77" s="3"/>
      <c r="E77" s="3"/>
    </row>
    <row r="78" spans="2:5" x14ac:dyDescent="0.35">
      <c r="B78" s="2"/>
      <c r="C78" s="3"/>
      <c r="D78" s="3"/>
      <c r="E78" s="3"/>
    </row>
    <row r="79" spans="2:5" x14ac:dyDescent="0.35">
      <c r="B79" s="2"/>
      <c r="C79" s="3"/>
      <c r="D79" s="3"/>
      <c r="E79" s="3"/>
    </row>
    <row r="80" spans="2:5" x14ac:dyDescent="0.35">
      <c r="B80" s="2"/>
      <c r="C80" s="3"/>
      <c r="D80" s="3"/>
      <c r="E80" s="3"/>
    </row>
    <row r="81" spans="2:5" x14ac:dyDescent="0.35">
      <c r="B81" s="2"/>
      <c r="C81" s="3"/>
      <c r="D81" s="3"/>
      <c r="E81" s="3"/>
    </row>
    <row r="82" spans="2:5" x14ac:dyDescent="0.35">
      <c r="B82" s="2"/>
      <c r="C82" s="3"/>
      <c r="D82" s="3"/>
      <c r="E82" s="3"/>
    </row>
    <row r="83" spans="2:5" x14ac:dyDescent="0.35">
      <c r="B83" s="2"/>
      <c r="C83" s="3"/>
      <c r="D83" s="3"/>
      <c r="E83" s="3"/>
    </row>
    <row r="84" spans="2:5" x14ac:dyDescent="0.35">
      <c r="B84" s="2"/>
      <c r="C84" s="3"/>
      <c r="D84" s="3"/>
      <c r="E84" s="3"/>
    </row>
    <row r="85" spans="2:5" x14ac:dyDescent="0.35">
      <c r="B85" s="2"/>
      <c r="C85" s="3"/>
      <c r="D85" s="3"/>
      <c r="E85" s="3"/>
    </row>
    <row r="86" spans="2:5" x14ac:dyDescent="0.35">
      <c r="B86" s="2"/>
      <c r="C86" s="3"/>
      <c r="D86" s="3"/>
      <c r="E86" s="3"/>
    </row>
    <row r="87" spans="2:5" x14ac:dyDescent="0.35">
      <c r="B87" s="2"/>
      <c r="C87" s="3"/>
      <c r="D87" s="3"/>
      <c r="E87" s="3"/>
    </row>
    <row r="88" spans="2:5" x14ac:dyDescent="0.35">
      <c r="B88" s="2"/>
      <c r="C88" s="3"/>
      <c r="D88" s="3"/>
      <c r="E88" s="3"/>
    </row>
    <row r="89" spans="2:5" x14ac:dyDescent="0.35">
      <c r="B89" s="2"/>
      <c r="C89" s="3"/>
      <c r="D89" s="3"/>
      <c r="E89" s="3"/>
    </row>
    <row r="90" spans="2:5" x14ac:dyDescent="0.35">
      <c r="B90" s="2"/>
      <c r="C90" s="3"/>
      <c r="D90" s="3"/>
      <c r="E90" s="3"/>
    </row>
    <row r="91" spans="2:5" x14ac:dyDescent="0.35">
      <c r="B91" s="2"/>
      <c r="C91" s="3"/>
      <c r="D91" s="3"/>
      <c r="E91" s="3"/>
    </row>
    <row r="92" spans="2:5" x14ac:dyDescent="0.35">
      <c r="B92" s="2"/>
      <c r="C92" s="3"/>
      <c r="D92" s="3"/>
      <c r="E92" s="3"/>
    </row>
    <row r="93" spans="2:5" x14ac:dyDescent="0.35">
      <c r="B93" s="2"/>
      <c r="C93" s="3"/>
      <c r="D93" s="3"/>
      <c r="E93" s="3"/>
    </row>
    <row r="94" spans="2:5" x14ac:dyDescent="0.35">
      <c r="B94" s="2"/>
      <c r="C94" s="3"/>
      <c r="D94" s="3"/>
      <c r="E94" s="3"/>
    </row>
    <row r="95" spans="2:5" x14ac:dyDescent="0.35">
      <c r="B95" s="2"/>
      <c r="C95" s="3"/>
      <c r="D95" s="3"/>
      <c r="E95" s="3"/>
    </row>
    <row r="96" spans="2:5" x14ac:dyDescent="0.35">
      <c r="B96" s="2"/>
      <c r="C96" s="3"/>
      <c r="D96" s="3"/>
      <c r="E96" s="3"/>
    </row>
    <row r="97" spans="2:5" x14ac:dyDescent="0.35">
      <c r="B97" s="2"/>
      <c r="C97" s="3"/>
      <c r="D97" s="3"/>
      <c r="E97" s="3"/>
    </row>
    <row r="98" spans="2:5" x14ac:dyDescent="0.35">
      <c r="B98" s="25"/>
      <c r="C98" s="26"/>
      <c r="D98" s="3"/>
      <c r="E98" s="26"/>
    </row>
    <row r="99" spans="2:5" x14ac:dyDescent="0.35">
      <c r="B99" s="2"/>
      <c r="C99" s="3"/>
      <c r="D99" s="3"/>
      <c r="E99" s="3"/>
    </row>
    <row r="100" spans="2:5" x14ac:dyDescent="0.35">
      <c r="B100" s="2"/>
      <c r="C100" s="3"/>
      <c r="D100" s="3"/>
      <c r="E100" s="3"/>
    </row>
    <row r="101" spans="2:5" x14ac:dyDescent="0.35">
      <c r="B101" s="2"/>
      <c r="C101" s="3"/>
      <c r="D101" s="3"/>
      <c r="E101" s="3"/>
    </row>
    <row r="102" spans="2:5" x14ac:dyDescent="0.35">
      <c r="B102" s="2"/>
      <c r="C102" s="3"/>
      <c r="D102" s="3"/>
      <c r="E102" s="3"/>
    </row>
    <row r="103" spans="2:5" x14ac:dyDescent="0.35">
      <c r="B103" s="2"/>
      <c r="C103" s="3"/>
      <c r="D103" s="3"/>
      <c r="E103" s="3"/>
    </row>
    <row r="104" spans="2:5" x14ac:dyDescent="0.35">
      <c r="B104" s="2"/>
      <c r="C104" s="3"/>
      <c r="D104" s="3"/>
      <c r="E104" s="3"/>
    </row>
    <row r="105" spans="2:5" x14ac:dyDescent="0.35">
      <c r="B105" s="2"/>
      <c r="C105" s="3"/>
      <c r="D105" s="3"/>
      <c r="E105" s="3"/>
    </row>
    <row r="106" spans="2:5" x14ac:dyDescent="0.35">
      <c r="B106" s="2"/>
      <c r="C106" s="3"/>
      <c r="D106" s="3"/>
      <c r="E106" s="3"/>
    </row>
    <row r="107" spans="2:5" x14ac:dyDescent="0.35">
      <c r="B107" s="2"/>
      <c r="C107" s="3"/>
      <c r="D107" s="3"/>
      <c r="E107" s="3"/>
    </row>
    <row r="108" spans="2:5" x14ac:dyDescent="0.35">
      <c r="B108" s="2"/>
      <c r="C108" s="26"/>
      <c r="D108" s="26"/>
      <c r="E108" s="26"/>
    </row>
    <row r="109" spans="2:5" x14ac:dyDescent="0.35">
      <c r="B109" s="2"/>
      <c r="C109" s="26"/>
      <c r="D109" s="26"/>
      <c r="E109" s="26"/>
    </row>
    <row r="110" spans="2:5" x14ac:dyDescent="0.35">
      <c r="B110" s="2"/>
      <c r="C110" s="26"/>
      <c r="D110" s="26"/>
      <c r="E110" s="26"/>
    </row>
    <row r="111" spans="2:5" x14ac:dyDescent="0.35">
      <c r="B111" s="2"/>
      <c r="C111" s="3"/>
      <c r="D111" s="3"/>
      <c r="E111" s="3"/>
    </row>
    <row r="112" spans="2:5" x14ac:dyDescent="0.35">
      <c r="B112" s="2"/>
      <c r="C112" s="3"/>
      <c r="D112" s="3"/>
      <c r="E112" s="3"/>
    </row>
    <row r="113" spans="2:5" x14ac:dyDescent="0.35">
      <c r="B113" s="2"/>
      <c r="C113" s="3"/>
      <c r="D113" s="3"/>
      <c r="E113" s="3"/>
    </row>
    <row r="114" spans="2:5" x14ac:dyDescent="0.35">
      <c r="B114" s="2"/>
      <c r="C114" s="3"/>
      <c r="D114" s="3"/>
      <c r="E114" s="3"/>
    </row>
    <row r="115" spans="2:5" x14ac:dyDescent="0.35">
      <c r="B115" s="2"/>
      <c r="C115" s="3"/>
      <c r="D115" s="3"/>
      <c r="E115" s="3"/>
    </row>
    <row r="116" spans="2:5" x14ac:dyDescent="0.35">
      <c r="B116" s="2"/>
      <c r="C116" s="3"/>
      <c r="D116" s="3"/>
      <c r="E116" s="3"/>
    </row>
    <row r="117" spans="2:5" x14ac:dyDescent="0.35">
      <c r="B117" s="2"/>
      <c r="C117" s="3"/>
      <c r="D117" s="3"/>
      <c r="E117" s="3"/>
    </row>
    <row r="118" spans="2:5" x14ac:dyDescent="0.35">
      <c r="B118" s="2"/>
      <c r="C118" s="3"/>
      <c r="D118" s="3"/>
      <c r="E118" s="3"/>
    </row>
    <row r="119" spans="2:5" x14ac:dyDescent="0.35">
      <c r="B119" s="2"/>
      <c r="C119" s="3"/>
      <c r="D119" s="3"/>
      <c r="E119" s="3"/>
    </row>
    <row r="120" spans="2:5" x14ac:dyDescent="0.35">
      <c r="B120" s="2"/>
      <c r="C120" s="3"/>
      <c r="D120" s="3"/>
      <c r="E120" s="3"/>
    </row>
    <row r="121" spans="2:5" x14ac:dyDescent="0.35">
      <c r="B121" s="2"/>
      <c r="C121" s="3"/>
      <c r="D121" s="3"/>
      <c r="E121" s="3"/>
    </row>
    <row r="122" spans="2:5" x14ac:dyDescent="0.35">
      <c r="B122" s="2"/>
      <c r="C122" s="3"/>
      <c r="D122" s="3"/>
      <c r="E122" s="3"/>
    </row>
    <row r="123" spans="2:5" x14ac:dyDescent="0.35">
      <c r="B123" s="2"/>
      <c r="C123" s="3"/>
      <c r="D123" s="3"/>
      <c r="E123" s="3"/>
    </row>
    <row r="124" spans="2:5" x14ac:dyDescent="0.35">
      <c r="B124" s="2"/>
      <c r="C124" s="3"/>
      <c r="D124" s="3"/>
      <c r="E124" s="3"/>
    </row>
    <row r="125" spans="2:5" x14ac:dyDescent="0.35">
      <c r="B125" s="2"/>
      <c r="C125" s="3"/>
      <c r="D125" s="3"/>
      <c r="E125" s="3"/>
    </row>
    <row r="126" spans="2:5" x14ac:dyDescent="0.35">
      <c r="B126" s="2"/>
      <c r="C126" s="3"/>
      <c r="D126" s="3"/>
      <c r="E126" s="3"/>
    </row>
    <row r="127" spans="2:5" x14ac:dyDescent="0.35">
      <c r="B127" s="2"/>
      <c r="C127" s="3"/>
      <c r="D127" s="3"/>
      <c r="E127" s="3"/>
    </row>
    <row r="128" spans="2:5" x14ac:dyDescent="0.35">
      <c r="B128" s="2"/>
      <c r="C128" s="3"/>
      <c r="D128" s="3"/>
      <c r="E128" s="3"/>
    </row>
    <row r="129" spans="2:5" x14ac:dyDescent="0.35">
      <c r="B129" s="2"/>
      <c r="C129" s="3"/>
      <c r="D129" s="3"/>
      <c r="E129" s="3"/>
    </row>
    <row r="130" spans="2:5" x14ac:dyDescent="0.35">
      <c r="B130" s="2"/>
      <c r="C130" s="3"/>
      <c r="D130" s="3"/>
      <c r="E130" s="3"/>
    </row>
    <row r="131" spans="2:5" x14ac:dyDescent="0.35">
      <c r="B131" s="2"/>
      <c r="C131" s="3"/>
      <c r="D131" s="3"/>
      <c r="E131" s="3"/>
    </row>
    <row r="132" spans="2:5" x14ac:dyDescent="0.35">
      <c r="B132" s="2"/>
      <c r="C132" s="3"/>
      <c r="D132" s="3"/>
      <c r="E132" s="3"/>
    </row>
    <row r="133" spans="2:5" x14ac:dyDescent="0.35">
      <c r="B133" s="2"/>
      <c r="C133" s="3"/>
      <c r="D133" s="3"/>
      <c r="E133" s="3"/>
    </row>
    <row r="134" spans="2:5" x14ac:dyDescent="0.35">
      <c r="B134" s="2"/>
      <c r="C134" s="3"/>
      <c r="D134" s="3"/>
      <c r="E134" s="3"/>
    </row>
    <row r="135" spans="2:5" x14ac:dyDescent="0.35">
      <c r="B135" s="2"/>
      <c r="C135" s="3"/>
      <c r="D135" s="3"/>
      <c r="E135" s="3"/>
    </row>
    <row r="136" spans="2:5" x14ac:dyDescent="0.35">
      <c r="B136" s="2"/>
      <c r="C136" s="3"/>
      <c r="D136" s="3"/>
      <c r="E136" s="3"/>
    </row>
    <row r="137" spans="2:5" x14ac:dyDescent="0.35">
      <c r="B137" s="2"/>
      <c r="C137" s="3"/>
      <c r="D137" s="3"/>
      <c r="E137" s="3"/>
    </row>
    <row r="138" spans="2:5" x14ac:dyDescent="0.35">
      <c r="B138" s="2"/>
      <c r="C138" s="3"/>
      <c r="D138" s="3"/>
      <c r="E138" s="3"/>
    </row>
    <row r="139" spans="2:5" x14ac:dyDescent="0.35">
      <c r="B139" s="2"/>
      <c r="C139" s="3"/>
      <c r="D139" s="3"/>
      <c r="E139" s="3"/>
    </row>
    <row r="140" spans="2:5" x14ac:dyDescent="0.35">
      <c r="B140" s="2"/>
      <c r="C140" s="3"/>
      <c r="D140" s="3"/>
      <c r="E140" s="3"/>
    </row>
    <row r="141" spans="2:5" x14ac:dyDescent="0.35">
      <c r="B141" s="2"/>
      <c r="C141" s="3"/>
      <c r="D141" s="3"/>
      <c r="E141" s="3"/>
    </row>
    <row r="142" spans="2:5" x14ac:dyDescent="0.35">
      <c r="B142" s="2"/>
      <c r="C142" s="3"/>
      <c r="D142" s="3"/>
      <c r="E142" s="3"/>
    </row>
    <row r="143" spans="2:5" x14ac:dyDescent="0.35">
      <c r="B143" s="2"/>
      <c r="C143" s="3"/>
      <c r="D143" s="3"/>
      <c r="E143" s="3"/>
    </row>
    <row r="144" spans="2:5" x14ac:dyDescent="0.35">
      <c r="B144" s="2"/>
      <c r="C144" s="3"/>
      <c r="D144" s="3"/>
      <c r="E144" s="3"/>
    </row>
    <row r="145" spans="2:5" x14ac:dyDescent="0.35">
      <c r="B145" s="2"/>
      <c r="C145" s="3"/>
      <c r="D145" s="3"/>
      <c r="E145" s="3"/>
    </row>
    <row r="146" spans="2:5" x14ac:dyDescent="0.35">
      <c r="B146" s="2"/>
      <c r="C146" s="3"/>
      <c r="D146" s="3"/>
      <c r="E146" s="3"/>
    </row>
    <row r="147" spans="2:5" x14ac:dyDescent="0.35">
      <c r="B147" s="2"/>
      <c r="C147" s="3"/>
      <c r="D147" s="3"/>
      <c r="E147" s="3"/>
    </row>
    <row r="148" spans="2:5" x14ac:dyDescent="0.35">
      <c r="B148" s="2"/>
      <c r="C148" s="3"/>
      <c r="D148" s="3"/>
      <c r="E148" s="3"/>
    </row>
    <row r="149" spans="2:5" x14ac:dyDescent="0.35">
      <c r="B149" s="2"/>
      <c r="C149" s="3"/>
      <c r="D149" s="3"/>
      <c r="E149" s="3"/>
    </row>
    <row r="150" spans="2:5" x14ac:dyDescent="0.35">
      <c r="B150" s="2"/>
      <c r="C150" s="3"/>
      <c r="D150" s="3"/>
      <c r="E150" s="3"/>
    </row>
    <row r="151" spans="2:5" x14ac:dyDescent="0.35">
      <c r="B151" s="2"/>
      <c r="C151" s="3"/>
      <c r="D151" s="3"/>
      <c r="E151" s="3"/>
    </row>
    <row r="152" spans="2:5" x14ac:dyDescent="0.35">
      <c r="B152" s="2"/>
      <c r="C152" s="3"/>
      <c r="D152" s="3"/>
      <c r="E152" s="3"/>
    </row>
    <row r="153" spans="2:5" x14ac:dyDescent="0.35">
      <c r="B153" s="2"/>
      <c r="C153" s="3"/>
      <c r="D153" s="3"/>
      <c r="E153" s="3"/>
    </row>
    <row r="154" spans="2:5" x14ac:dyDescent="0.35">
      <c r="B154" s="2"/>
      <c r="C154" s="3"/>
      <c r="D154" s="3"/>
      <c r="E154" s="3"/>
    </row>
    <row r="155" spans="2:5" x14ac:dyDescent="0.35">
      <c r="B155" s="2"/>
      <c r="C155" s="3"/>
      <c r="D155" s="3"/>
      <c r="E155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C34C-7D66-4D15-A317-ACBC549CC248}">
  <sheetPr codeName="Sheet3"/>
  <dimension ref="B2:E11"/>
  <sheetViews>
    <sheetView showGridLines="0" zoomScale="80" zoomScaleNormal="80" workbookViewId="0"/>
  </sheetViews>
  <sheetFormatPr defaultRowHeight="14.5" x14ac:dyDescent="0.35"/>
  <cols>
    <col min="2" max="2" width="9.7265625" bestFit="1" customWidth="1"/>
    <col min="3" max="3" width="32.453125" bestFit="1" customWidth="1"/>
    <col min="4" max="4" width="6.26953125" bestFit="1" customWidth="1"/>
    <col min="5" max="5" width="7.26953125" bestFit="1" customWidth="1"/>
  </cols>
  <sheetData>
    <row r="2" spans="2:5" x14ac:dyDescent="0.35">
      <c r="B2" s="14" t="s">
        <v>17</v>
      </c>
      <c r="C2" s="15" t="s">
        <v>18</v>
      </c>
      <c r="D2" s="15" t="s">
        <v>19</v>
      </c>
      <c r="E2" s="15" t="s">
        <v>20</v>
      </c>
    </row>
    <row r="3" spans="2:5" x14ac:dyDescent="0.35">
      <c r="B3" s="18">
        <v>44095</v>
      </c>
      <c r="C3" s="19" t="s">
        <v>97</v>
      </c>
      <c r="D3" s="19">
        <v>2</v>
      </c>
      <c r="E3" s="19" t="s">
        <v>23</v>
      </c>
    </row>
    <row r="4" spans="2:5" x14ac:dyDescent="0.35">
      <c r="B4" s="18">
        <v>44095</v>
      </c>
      <c r="C4" s="19" t="s">
        <v>98</v>
      </c>
      <c r="D4" s="19">
        <v>1</v>
      </c>
      <c r="E4" s="19" t="s">
        <v>23</v>
      </c>
    </row>
    <row r="5" spans="2:5" x14ac:dyDescent="0.35">
      <c r="B5" s="18">
        <v>44095</v>
      </c>
      <c r="C5" s="19" t="s">
        <v>22</v>
      </c>
      <c r="D5" s="19">
        <v>1</v>
      </c>
      <c r="E5" s="19" t="s">
        <v>23</v>
      </c>
    </row>
    <row r="6" spans="2:5" x14ac:dyDescent="0.35">
      <c r="B6" s="18">
        <v>44095</v>
      </c>
      <c r="C6" s="19" t="s">
        <v>99</v>
      </c>
      <c r="D6" s="19">
        <v>1</v>
      </c>
      <c r="E6" s="19" t="s">
        <v>6</v>
      </c>
    </row>
    <row r="7" spans="2:5" x14ac:dyDescent="0.35">
      <c r="B7" s="18">
        <v>44095</v>
      </c>
      <c r="C7" s="19" t="s">
        <v>100</v>
      </c>
      <c r="D7" s="19">
        <v>1</v>
      </c>
      <c r="E7" s="19" t="s">
        <v>23</v>
      </c>
    </row>
    <row r="8" spans="2:5" x14ac:dyDescent="0.35">
      <c r="B8" s="18">
        <v>44091</v>
      </c>
      <c r="C8" s="22" t="s">
        <v>101</v>
      </c>
      <c r="D8" s="22">
        <v>1</v>
      </c>
      <c r="E8" s="22" t="s">
        <v>6</v>
      </c>
    </row>
    <row r="9" spans="2:5" x14ac:dyDescent="0.35">
      <c r="B9" s="23">
        <v>44091</v>
      </c>
      <c r="C9" s="22" t="s">
        <v>102</v>
      </c>
      <c r="D9" s="22">
        <v>2</v>
      </c>
      <c r="E9" s="22" t="s">
        <v>23</v>
      </c>
    </row>
    <row r="10" spans="2:5" x14ac:dyDescent="0.35">
      <c r="B10" s="23">
        <v>44090</v>
      </c>
      <c r="C10" s="22" t="s">
        <v>27</v>
      </c>
      <c r="D10" s="22">
        <v>1</v>
      </c>
      <c r="E10" s="22" t="s">
        <v>6</v>
      </c>
    </row>
    <row r="11" spans="2:5" x14ac:dyDescent="0.35">
      <c r="B11" s="23">
        <v>44089</v>
      </c>
      <c r="C11" s="22" t="s">
        <v>103</v>
      </c>
      <c r="D11" s="22">
        <v>2</v>
      </c>
      <c r="E11" s="22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6B75-777B-4781-BA6E-EED8A79A67EF}">
  <sheetPr codeName="Sheet4"/>
  <dimension ref="B2:D43"/>
  <sheetViews>
    <sheetView showGridLines="0" zoomScale="80" zoomScaleNormal="80" workbookViewId="0"/>
  </sheetViews>
  <sheetFormatPr defaultRowHeight="14.5" x14ac:dyDescent="0.35"/>
  <cols>
    <col min="2" max="2" width="10.81640625" bestFit="1" customWidth="1"/>
    <col min="3" max="3" width="32.453125" bestFit="1" customWidth="1"/>
    <col min="4" max="4" width="6.26953125" bestFit="1" customWidth="1"/>
  </cols>
  <sheetData>
    <row r="2" spans="2:4" x14ac:dyDescent="0.35">
      <c r="B2" s="14" t="s">
        <v>17</v>
      </c>
      <c r="C2" s="15" t="s">
        <v>18</v>
      </c>
      <c r="D2" s="15" t="s">
        <v>19</v>
      </c>
    </row>
    <row r="3" spans="2:4" x14ac:dyDescent="0.35">
      <c r="B3" s="21">
        <v>44125</v>
      </c>
      <c r="C3" s="19" t="s">
        <v>72</v>
      </c>
      <c r="D3" s="19">
        <v>2</v>
      </c>
    </row>
    <row r="4" spans="2:4" x14ac:dyDescent="0.35">
      <c r="B4" s="18">
        <v>44123</v>
      </c>
      <c r="C4" s="19" t="s">
        <v>68</v>
      </c>
      <c r="D4" s="19">
        <v>1</v>
      </c>
    </row>
    <row r="5" spans="2:4" x14ac:dyDescent="0.35">
      <c r="B5" s="18">
        <v>44120</v>
      </c>
      <c r="C5" s="19" t="s">
        <v>22</v>
      </c>
      <c r="D5" s="19">
        <v>1</v>
      </c>
    </row>
    <row r="6" spans="2:4" x14ac:dyDescent="0.35">
      <c r="B6" s="18">
        <v>44119</v>
      </c>
      <c r="C6" s="19" t="s">
        <v>68</v>
      </c>
      <c r="D6" s="19">
        <v>2</v>
      </c>
    </row>
    <row r="7" spans="2:4" x14ac:dyDescent="0.35">
      <c r="B7" s="18">
        <v>44119</v>
      </c>
      <c r="C7" s="19" t="s">
        <v>22</v>
      </c>
      <c r="D7" s="19">
        <v>1</v>
      </c>
    </row>
    <row r="8" spans="2:4" x14ac:dyDescent="0.35">
      <c r="B8" s="18">
        <v>44119</v>
      </c>
      <c r="C8" s="19" t="s">
        <v>69</v>
      </c>
      <c r="D8" s="19">
        <v>1</v>
      </c>
    </row>
    <row r="9" spans="2:4" x14ac:dyDescent="0.35">
      <c r="B9" s="18">
        <v>44118</v>
      </c>
      <c r="C9" s="19" t="s">
        <v>65</v>
      </c>
      <c r="D9" s="19">
        <v>1</v>
      </c>
    </row>
    <row r="10" spans="2:4" x14ac:dyDescent="0.35">
      <c r="B10" s="18">
        <v>44118</v>
      </c>
      <c r="C10" s="19" t="s">
        <v>67</v>
      </c>
      <c r="D10" s="19">
        <v>2</v>
      </c>
    </row>
    <row r="11" spans="2:4" x14ac:dyDescent="0.35">
      <c r="B11" s="18">
        <v>44117</v>
      </c>
      <c r="C11" s="19" t="s">
        <v>22</v>
      </c>
      <c r="D11" s="19">
        <v>1</v>
      </c>
    </row>
    <row r="12" spans="2:4" x14ac:dyDescent="0.35">
      <c r="B12" s="18">
        <v>44116</v>
      </c>
      <c r="C12" s="19" t="s">
        <v>62</v>
      </c>
      <c r="D12" s="19">
        <v>1</v>
      </c>
    </row>
    <row r="13" spans="2:4" x14ac:dyDescent="0.35">
      <c r="B13" s="18">
        <v>44112</v>
      </c>
      <c r="C13" s="19" t="s">
        <v>58</v>
      </c>
      <c r="D13" s="19">
        <v>1</v>
      </c>
    </row>
    <row r="14" spans="2:4" x14ac:dyDescent="0.35">
      <c r="B14" s="18">
        <v>44111</v>
      </c>
      <c r="C14" s="19" t="s">
        <v>56</v>
      </c>
      <c r="D14" s="19">
        <v>1</v>
      </c>
    </row>
    <row r="15" spans="2:4" x14ac:dyDescent="0.35">
      <c r="B15" s="18">
        <v>44111</v>
      </c>
      <c r="C15" s="19" t="s">
        <v>29</v>
      </c>
      <c r="D15" s="19">
        <v>1</v>
      </c>
    </row>
    <row r="16" spans="2:4" x14ac:dyDescent="0.35">
      <c r="B16" s="18">
        <v>44110</v>
      </c>
      <c r="C16" s="19" t="s">
        <v>29</v>
      </c>
      <c r="D16" s="19">
        <v>2</v>
      </c>
    </row>
    <row r="17" spans="2:4" x14ac:dyDescent="0.35">
      <c r="B17" s="18">
        <v>44109</v>
      </c>
      <c r="C17" s="19" t="s">
        <v>51</v>
      </c>
      <c r="D17" s="19">
        <v>1</v>
      </c>
    </row>
    <row r="18" spans="2:4" x14ac:dyDescent="0.35">
      <c r="B18" s="18">
        <v>44109</v>
      </c>
      <c r="C18" s="19" t="s">
        <v>52</v>
      </c>
      <c r="D18" s="19">
        <v>1</v>
      </c>
    </row>
    <row r="19" spans="2:4" x14ac:dyDescent="0.35">
      <c r="B19" s="18">
        <v>44109</v>
      </c>
      <c r="C19" s="19" t="s">
        <v>29</v>
      </c>
      <c r="D19" s="19">
        <v>1</v>
      </c>
    </row>
    <row r="20" spans="2:4" x14ac:dyDescent="0.35">
      <c r="B20" s="18">
        <v>44109</v>
      </c>
      <c r="C20" s="19" t="s">
        <v>54</v>
      </c>
      <c r="D20" s="19">
        <v>1</v>
      </c>
    </row>
    <row r="21" spans="2:4" x14ac:dyDescent="0.35">
      <c r="B21" s="18">
        <v>44105</v>
      </c>
      <c r="C21" s="19" t="s">
        <v>48</v>
      </c>
      <c r="D21" s="19">
        <v>1</v>
      </c>
    </row>
    <row r="22" spans="2:4" x14ac:dyDescent="0.35">
      <c r="B22" s="18">
        <v>44105</v>
      </c>
      <c r="C22" s="19" t="s">
        <v>49</v>
      </c>
      <c r="D22" s="19">
        <v>1</v>
      </c>
    </row>
    <row r="23" spans="2:4" x14ac:dyDescent="0.35">
      <c r="B23" s="18">
        <v>44104</v>
      </c>
      <c r="C23" s="19" t="s">
        <v>45</v>
      </c>
      <c r="D23" s="19">
        <v>1</v>
      </c>
    </row>
    <row r="24" spans="2:4" x14ac:dyDescent="0.35">
      <c r="B24" s="18">
        <v>44104</v>
      </c>
      <c r="C24" s="19" t="s">
        <v>42</v>
      </c>
      <c r="D24" s="19">
        <v>1</v>
      </c>
    </row>
    <row r="25" spans="2:4" x14ac:dyDescent="0.35">
      <c r="B25" s="18">
        <v>44104</v>
      </c>
      <c r="C25" s="19" t="s">
        <v>46</v>
      </c>
      <c r="D25" s="19">
        <v>1</v>
      </c>
    </row>
    <row r="26" spans="2:4" x14ac:dyDescent="0.35">
      <c r="B26" s="18">
        <v>44103</v>
      </c>
      <c r="C26" s="19" t="s">
        <v>38</v>
      </c>
      <c r="D26" s="19">
        <v>3</v>
      </c>
    </row>
    <row r="27" spans="2:4" x14ac:dyDescent="0.35">
      <c r="B27" s="18">
        <v>44103</v>
      </c>
      <c r="C27" s="19" t="s">
        <v>40</v>
      </c>
      <c r="D27" s="19">
        <v>1</v>
      </c>
    </row>
    <row r="28" spans="2:4" x14ac:dyDescent="0.35">
      <c r="B28" s="18">
        <v>44103</v>
      </c>
      <c r="C28" s="19" t="s">
        <v>41</v>
      </c>
      <c r="D28" s="19">
        <v>1</v>
      </c>
    </row>
    <row r="29" spans="2:4" x14ac:dyDescent="0.35">
      <c r="B29" s="18">
        <v>44103</v>
      </c>
      <c r="C29" s="19" t="s">
        <v>42</v>
      </c>
      <c r="D29" s="19">
        <v>1</v>
      </c>
    </row>
    <row r="30" spans="2:4" x14ac:dyDescent="0.35">
      <c r="B30" s="18">
        <v>44103</v>
      </c>
      <c r="C30" s="19" t="s">
        <v>43</v>
      </c>
      <c r="D30" s="19">
        <v>1</v>
      </c>
    </row>
    <row r="31" spans="2:4" x14ac:dyDescent="0.35">
      <c r="B31" s="18">
        <v>44102</v>
      </c>
      <c r="C31" s="19" t="s">
        <v>37</v>
      </c>
      <c r="D31" s="19">
        <v>1</v>
      </c>
    </row>
    <row r="32" spans="2:4" x14ac:dyDescent="0.35">
      <c r="B32" s="18">
        <v>44099</v>
      </c>
      <c r="C32" s="19" t="s">
        <v>34</v>
      </c>
      <c r="D32" s="19">
        <v>1</v>
      </c>
    </row>
    <row r="33" spans="2:4" x14ac:dyDescent="0.35">
      <c r="B33" s="18">
        <v>44099</v>
      </c>
      <c r="C33" s="19" t="s">
        <v>22</v>
      </c>
      <c r="D33" s="19">
        <v>2</v>
      </c>
    </row>
    <row r="34" spans="2:4" x14ac:dyDescent="0.35">
      <c r="B34" s="18">
        <v>44098</v>
      </c>
      <c r="C34" s="19" t="s">
        <v>30</v>
      </c>
      <c r="D34" s="19">
        <v>1</v>
      </c>
    </row>
    <row r="35" spans="2:4" x14ac:dyDescent="0.35">
      <c r="B35" s="18">
        <v>44098</v>
      </c>
      <c r="C35" s="19" t="s">
        <v>29</v>
      </c>
      <c r="D35" s="19">
        <v>1</v>
      </c>
    </row>
    <row r="36" spans="2:4" x14ac:dyDescent="0.35">
      <c r="B36" s="18">
        <v>44097</v>
      </c>
      <c r="C36" s="19" t="s">
        <v>29</v>
      </c>
      <c r="D36" s="19">
        <v>2</v>
      </c>
    </row>
    <row r="37" spans="2:4" x14ac:dyDescent="0.35">
      <c r="B37" s="18">
        <v>44096</v>
      </c>
      <c r="C37" s="19" t="s">
        <v>22</v>
      </c>
      <c r="D37" s="19">
        <v>1</v>
      </c>
    </row>
    <row r="38" spans="2:4" x14ac:dyDescent="0.35">
      <c r="B38" s="18"/>
      <c r="C38" s="19"/>
      <c r="D38" s="19"/>
    </row>
    <row r="39" spans="2:4" x14ac:dyDescent="0.35">
      <c r="B39" s="18"/>
      <c r="C39" s="19"/>
      <c r="D39" s="19"/>
    </row>
    <row r="40" spans="2:4" x14ac:dyDescent="0.35">
      <c r="B40" s="18"/>
      <c r="C40" s="19"/>
      <c r="D40" s="19"/>
    </row>
    <row r="41" spans="2:4" x14ac:dyDescent="0.35">
      <c r="B41" s="18"/>
      <c r="C41" s="19"/>
      <c r="D41" s="19"/>
    </row>
    <row r="42" spans="2:4" x14ac:dyDescent="0.35">
      <c r="B42" s="18"/>
      <c r="C42" s="19"/>
      <c r="D42" s="19"/>
    </row>
    <row r="43" spans="2:4" x14ac:dyDescent="0.35">
      <c r="B43" s="16"/>
      <c r="C43" s="17"/>
      <c r="D43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C20F7-87F9-401B-937E-F9A3F5AF2B32}">
  <sheetPr codeName="Sheet5"/>
  <dimension ref="B2:D11"/>
  <sheetViews>
    <sheetView showGridLines="0" zoomScale="80" zoomScaleNormal="80" workbookViewId="0"/>
  </sheetViews>
  <sheetFormatPr defaultRowHeight="14.5" x14ac:dyDescent="0.35"/>
  <cols>
    <col min="2" max="2" width="10.81640625" bestFit="1" customWidth="1"/>
    <col min="3" max="3" width="30.453125" bestFit="1" customWidth="1"/>
    <col min="4" max="4" width="6.26953125" bestFit="1" customWidth="1"/>
  </cols>
  <sheetData>
    <row r="2" spans="2:4" x14ac:dyDescent="0.35">
      <c r="B2" s="14" t="s">
        <v>17</v>
      </c>
      <c r="C2" s="15" t="s">
        <v>18</v>
      </c>
      <c r="D2" s="15" t="s">
        <v>19</v>
      </c>
    </row>
    <row r="3" spans="2:4" x14ac:dyDescent="0.35">
      <c r="B3" s="21">
        <v>44124</v>
      </c>
      <c r="C3" s="19" t="s">
        <v>71</v>
      </c>
      <c r="D3" s="19">
        <v>1</v>
      </c>
    </row>
    <row r="4" spans="2:4" x14ac:dyDescent="0.35">
      <c r="B4" s="21">
        <v>44123</v>
      </c>
      <c r="C4" s="19" t="s">
        <v>39</v>
      </c>
      <c r="D4" s="19">
        <v>1</v>
      </c>
    </row>
    <row r="5" spans="2:4" x14ac:dyDescent="0.35">
      <c r="B5" s="18">
        <v>44109</v>
      </c>
      <c r="C5" s="19" t="s">
        <v>31</v>
      </c>
      <c r="D5" s="19">
        <v>3</v>
      </c>
    </row>
    <row r="6" spans="2:4" x14ac:dyDescent="0.35">
      <c r="B6" s="18">
        <v>44109</v>
      </c>
      <c r="C6" s="19" t="s">
        <v>50</v>
      </c>
      <c r="D6" s="19">
        <v>2</v>
      </c>
    </row>
    <row r="7" spans="2:4" x14ac:dyDescent="0.35">
      <c r="B7" s="18">
        <v>44105</v>
      </c>
      <c r="C7" s="19" t="s">
        <v>50</v>
      </c>
      <c r="D7" s="19">
        <v>1</v>
      </c>
    </row>
    <row r="8" spans="2:4" x14ac:dyDescent="0.35">
      <c r="B8" s="18">
        <v>44103</v>
      </c>
      <c r="C8" s="19" t="s">
        <v>39</v>
      </c>
      <c r="D8" s="19">
        <v>1</v>
      </c>
    </row>
    <row r="9" spans="2:4" x14ac:dyDescent="0.35">
      <c r="B9" s="18">
        <v>44099</v>
      </c>
      <c r="C9" s="19" t="s">
        <v>31</v>
      </c>
      <c r="D9" s="19">
        <v>1</v>
      </c>
    </row>
    <row r="10" spans="2:4" x14ac:dyDescent="0.35">
      <c r="B10" s="18">
        <v>44098</v>
      </c>
      <c r="C10" s="19" t="s">
        <v>31</v>
      </c>
      <c r="D10" s="19">
        <v>4</v>
      </c>
    </row>
    <row r="11" spans="2:4" x14ac:dyDescent="0.35">
      <c r="B11" s="18">
        <v>44097</v>
      </c>
      <c r="C11" s="19" t="s">
        <v>26</v>
      </c>
      <c r="D11" s="1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4ED12-EE9D-45B5-B5E5-253A9669DE0D}">
  <sheetPr codeName="Sheet6"/>
  <dimension ref="B2:F3"/>
  <sheetViews>
    <sheetView showGridLines="0" zoomScale="80" zoomScaleNormal="80" workbookViewId="0"/>
  </sheetViews>
  <sheetFormatPr defaultRowHeight="14.5" x14ac:dyDescent="0.35"/>
  <cols>
    <col min="2" max="2" width="9.7265625" bestFit="1" customWidth="1"/>
    <col min="3" max="3" width="33.1796875" bestFit="1" customWidth="1"/>
    <col min="4" max="4" width="5.1796875" bestFit="1" customWidth="1"/>
    <col min="6" max="6" width="9.81640625" bestFit="1" customWidth="1"/>
  </cols>
  <sheetData>
    <row r="2" spans="2:6" x14ac:dyDescent="0.35">
      <c r="B2" s="2" t="s">
        <v>17</v>
      </c>
      <c r="C2" s="3" t="s">
        <v>104</v>
      </c>
      <c r="D2" s="3" t="s">
        <v>105</v>
      </c>
      <c r="E2" s="3" t="s">
        <v>106</v>
      </c>
      <c r="F2" s="4" t="s">
        <v>107</v>
      </c>
    </row>
    <row r="3" spans="2:6" x14ac:dyDescent="0.35">
      <c r="B3" s="2">
        <v>44097</v>
      </c>
      <c r="C3" s="3" t="s">
        <v>108</v>
      </c>
      <c r="D3" s="3">
        <v>8</v>
      </c>
      <c r="E3" s="3">
        <v>3</v>
      </c>
      <c r="F3" s="3">
        <f>D3*E3</f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67C0B-D9EC-4E2A-85B2-455F04E00787}">
  <sheetPr codeName="Sheet7"/>
  <dimension ref="B2:F21"/>
  <sheetViews>
    <sheetView showGridLines="0" zoomScale="80" zoomScaleNormal="80" workbookViewId="0">
      <selection activeCell="B21" sqref="B21"/>
    </sheetView>
  </sheetViews>
  <sheetFormatPr defaultRowHeight="14.5" x14ac:dyDescent="0.35"/>
  <cols>
    <col min="2" max="2" width="11.54296875" bestFit="1" customWidth="1"/>
    <col min="3" max="3" width="29.54296875" bestFit="1" customWidth="1"/>
    <col min="4" max="4" width="8.81640625" bestFit="1" customWidth="1"/>
    <col min="6" max="6" width="9.81640625" bestFit="1" customWidth="1"/>
  </cols>
  <sheetData>
    <row r="2" spans="2:6" x14ac:dyDescent="0.35">
      <c r="B2" s="3" t="s">
        <v>17</v>
      </c>
      <c r="C2" s="3" t="s">
        <v>109</v>
      </c>
      <c r="D2" s="3" t="s">
        <v>105</v>
      </c>
      <c r="E2" s="3" t="s">
        <v>106</v>
      </c>
      <c r="F2" s="4" t="s">
        <v>107</v>
      </c>
    </row>
    <row r="3" spans="2:6" x14ac:dyDescent="0.35">
      <c r="B3" s="2">
        <f>B5+2</f>
        <v>44094</v>
      </c>
      <c r="C3" s="3" t="s">
        <v>110</v>
      </c>
      <c r="D3" s="3">
        <v>2</v>
      </c>
      <c r="E3" s="3">
        <v>3</v>
      </c>
      <c r="F3" s="3">
        <f t="shared" ref="F3:F20" si="0">D3*E3</f>
        <v>6</v>
      </c>
    </row>
    <row r="4" spans="2:6" x14ac:dyDescent="0.35">
      <c r="B4" s="2">
        <v>44089</v>
      </c>
      <c r="C4" s="3" t="s">
        <v>110</v>
      </c>
      <c r="D4" s="3">
        <v>2</v>
      </c>
      <c r="E4" s="3">
        <v>3</v>
      </c>
      <c r="F4" s="3">
        <f t="shared" si="0"/>
        <v>6</v>
      </c>
    </row>
    <row r="5" spans="2:6" x14ac:dyDescent="0.35">
      <c r="B5" s="2">
        <v>44092</v>
      </c>
      <c r="C5" s="3" t="s">
        <v>111</v>
      </c>
      <c r="D5" s="3">
        <v>2</v>
      </c>
      <c r="E5" s="3">
        <v>3</v>
      </c>
      <c r="F5" s="3">
        <f t="shared" si="0"/>
        <v>6</v>
      </c>
    </row>
    <row r="6" spans="2:6" x14ac:dyDescent="0.35">
      <c r="B6" s="2">
        <v>44098</v>
      </c>
      <c r="C6" s="3" t="s">
        <v>110</v>
      </c>
      <c r="D6" s="3">
        <v>2</v>
      </c>
      <c r="E6" s="3">
        <v>3</v>
      </c>
      <c r="F6" s="3">
        <f t="shared" si="0"/>
        <v>6</v>
      </c>
    </row>
    <row r="7" spans="2:6" x14ac:dyDescent="0.35">
      <c r="B7" s="2">
        <v>44103</v>
      </c>
      <c r="C7" s="3" t="s">
        <v>110</v>
      </c>
      <c r="D7" s="3">
        <v>2</v>
      </c>
      <c r="E7" s="3">
        <v>3</v>
      </c>
      <c r="F7" s="3">
        <f t="shared" si="0"/>
        <v>6</v>
      </c>
    </row>
    <row r="8" spans="2:6" x14ac:dyDescent="0.35">
      <c r="B8" s="2">
        <v>44105</v>
      </c>
      <c r="C8" s="3" t="s">
        <v>112</v>
      </c>
      <c r="D8" s="3">
        <v>3</v>
      </c>
      <c r="E8" s="3">
        <v>3</v>
      </c>
      <c r="F8" s="3">
        <f t="shared" si="0"/>
        <v>9</v>
      </c>
    </row>
    <row r="9" spans="2:6" x14ac:dyDescent="0.35">
      <c r="B9" s="2">
        <v>44105</v>
      </c>
      <c r="C9" s="3" t="s">
        <v>110</v>
      </c>
      <c r="D9" s="3">
        <v>2</v>
      </c>
      <c r="E9" s="3">
        <v>3</v>
      </c>
      <c r="F9" s="3">
        <f t="shared" si="0"/>
        <v>6</v>
      </c>
    </row>
    <row r="10" spans="2:6" x14ac:dyDescent="0.35">
      <c r="B10" s="2">
        <v>44109</v>
      </c>
      <c r="C10" s="3" t="s">
        <v>110</v>
      </c>
      <c r="D10" s="3">
        <v>2</v>
      </c>
      <c r="E10" s="3">
        <v>3</v>
      </c>
      <c r="F10" s="3">
        <f t="shared" si="0"/>
        <v>6</v>
      </c>
    </row>
    <row r="11" spans="2:6" x14ac:dyDescent="0.35">
      <c r="B11" s="2">
        <v>44116</v>
      </c>
      <c r="C11" s="3" t="s">
        <v>113</v>
      </c>
      <c r="D11" s="3">
        <v>1</v>
      </c>
      <c r="E11" s="3">
        <v>3</v>
      </c>
      <c r="F11" s="3">
        <f t="shared" si="0"/>
        <v>3</v>
      </c>
    </row>
    <row r="12" spans="2:6" x14ac:dyDescent="0.35">
      <c r="B12" s="2">
        <v>44119</v>
      </c>
      <c r="C12" s="3" t="s">
        <v>110</v>
      </c>
      <c r="D12" s="3">
        <v>2.5</v>
      </c>
      <c r="E12" s="3">
        <v>3</v>
      </c>
      <c r="F12" s="3">
        <f t="shared" si="0"/>
        <v>7.5</v>
      </c>
    </row>
    <row r="13" spans="2:6" x14ac:dyDescent="0.35">
      <c r="B13" s="2">
        <v>44124</v>
      </c>
      <c r="C13" s="3" t="s">
        <v>110</v>
      </c>
      <c r="D13" s="3">
        <v>2</v>
      </c>
      <c r="E13" s="3">
        <v>3</v>
      </c>
      <c r="F13" s="3">
        <f t="shared" si="0"/>
        <v>6</v>
      </c>
    </row>
    <row r="14" spans="2:6" x14ac:dyDescent="0.35">
      <c r="B14" s="2">
        <v>44126</v>
      </c>
      <c r="C14" s="4" t="s">
        <v>110</v>
      </c>
      <c r="D14" s="4">
        <v>2</v>
      </c>
      <c r="E14" s="4">
        <v>3</v>
      </c>
      <c r="F14" s="4">
        <f t="shared" si="0"/>
        <v>6</v>
      </c>
    </row>
    <row r="15" spans="2:6" x14ac:dyDescent="0.35">
      <c r="B15" s="2">
        <v>44127</v>
      </c>
      <c r="C15" s="4" t="s">
        <v>114</v>
      </c>
      <c r="D15" s="4">
        <v>2</v>
      </c>
      <c r="E15" s="4">
        <v>3</v>
      </c>
      <c r="F15" s="4">
        <f t="shared" si="0"/>
        <v>6</v>
      </c>
    </row>
    <row r="16" spans="2:6" x14ac:dyDescent="0.35">
      <c r="B16" s="2">
        <v>44130</v>
      </c>
      <c r="C16" s="27" t="s">
        <v>114</v>
      </c>
      <c r="D16" s="27">
        <v>1</v>
      </c>
      <c r="E16" s="27">
        <v>3</v>
      </c>
      <c r="F16" s="27">
        <f t="shared" si="0"/>
        <v>3</v>
      </c>
    </row>
    <row r="17" spans="2:6" x14ac:dyDescent="0.35">
      <c r="B17" s="2">
        <v>44131</v>
      </c>
      <c r="C17" s="27" t="s">
        <v>110</v>
      </c>
      <c r="D17" s="27">
        <v>2</v>
      </c>
      <c r="E17" s="27">
        <v>3</v>
      </c>
      <c r="F17" s="27">
        <f t="shared" si="0"/>
        <v>6</v>
      </c>
    </row>
    <row r="18" spans="2:6" x14ac:dyDescent="0.35">
      <c r="B18" s="2">
        <v>44133</v>
      </c>
      <c r="C18" s="27" t="s">
        <v>110</v>
      </c>
      <c r="D18" s="27">
        <v>2</v>
      </c>
      <c r="E18" s="27">
        <v>3</v>
      </c>
      <c r="F18" s="27">
        <f t="shared" si="0"/>
        <v>6</v>
      </c>
    </row>
    <row r="19" spans="2:6" x14ac:dyDescent="0.35">
      <c r="B19" s="1">
        <v>44137</v>
      </c>
      <c r="C19" s="27" t="s">
        <v>114</v>
      </c>
      <c r="D19" s="27">
        <v>1.5</v>
      </c>
      <c r="E19" s="27">
        <v>3</v>
      </c>
      <c r="F19" s="27">
        <f t="shared" si="0"/>
        <v>4.5</v>
      </c>
    </row>
    <row r="20" spans="2:6" x14ac:dyDescent="0.35">
      <c r="B20" s="1">
        <v>44138</v>
      </c>
      <c r="C20" s="27" t="s">
        <v>110</v>
      </c>
      <c r="D20" s="27">
        <v>2</v>
      </c>
      <c r="E20" s="27">
        <v>3</v>
      </c>
      <c r="F20" s="27">
        <f t="shared" si="0"/>
        <v>6</v>
      </c>
    </row>
    <row r="21" spans="2:6" x14ac:dyDescent="0.35">
      <c r="B21" s="1"/>
    </row>
  </sheetData>
  <autoFilter ref="B2:F12" xr:uid="{BDDAD96E-44A7-4F95-8DBC-A7E8481E1611}">
    <sortState xmlns:xlrd2="http://schemas.microsoft.com/office/spreadsheetml/2017/richdata2" ref="B3:F12">
      <sortCondition ref="B2:B12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DD1088-A195-4218-B2EA-378F88B32CE8}">
  <ds:schemaRefs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dcmitype/"/>
    <ds:schemaRef ds:uri="ab886353-33a8-4deb-a489-966d1380e9bd"/>
    <ds:schemaRef ds:uri="7028091b-12e2-4f94-8415-0145686e3269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C06793DE-1E04-47A8-B9F9-08AD0D6952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20A8AD-37E9-4457-874C-1FFAE9B2EE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Team Utilization</vt:lpstr>
      <vt:lpstr>Deliverable</vt:lpstr>
      <vt:lpstr>Deliverable (2)</vt:lpstr>
      <vt:lpstr>OldDeliverables</vt:lpstr>
      <vt:lpstr>AdHoc</vt:lpstr>
      <vt:lpstr>NewWorkstreams</vt:lpstr>
      <vt:lpstr>Technical Issues</vt:lpstr>
      <vt:lpstr>Internal Connects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Sudhanshu Aggarwal</dc:creator>
  <cp:keywords/>
  <dc:description/>
  <cp:lastModifiedBy>Sudhanshu Aggarwal</cp:lastModifiedBy>
  <cp:revision/>
  <dcterms:created xsi:type="dcterms:W3CDTF">2020-10-19T10:16:20Z</dcterms:created>
  <dcterms:modified xsi:type="dcterms:W3CDTF">2021-03-12T08:51:19Z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