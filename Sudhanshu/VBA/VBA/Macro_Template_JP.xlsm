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udhanshu.aggarwal\Documents\FlyWheelScoreCard_Finale\"/>
    </mc:Choice>
  </mc:AlternateContent>
  <xr:revisionPtr revIDLastSave="0" documentId="13_ncr:1_{C0CBD2B2-4C15-4EAD-BD39-17C026F6E836}" xr6:coauthVersionLast="45" xr6:coauthVersionMax="45" xr10:uidLastSave="{00000000-0000-0000-0000-000000000000}"/>
  <bookViews>
    <workbookView xWindow="-110" yWindow="-110" windowWidth="19420" windowHeight="11020" xr2:uid="{00000000-000D-0000-FFFF-FFFF00000000}"/>
  </bookViews>
  <sheets>
    <sheet name="Read Me" sheetId="6" r:id="rId1"/>
    <sheet name="Intelligent Media Reach" sheetId="3" r:id="rId2"/>
    <sheet name="Perfect Store" sheetId="2" r:id="rId3"/>
    <sheet name="Margin to Invest" sheetId="1" r:id="rId4"/>
    <sheet name="Output Metrics" sheetId="4" r:id="rId5"/>
    <sheet name="Channel Reach" sheetId="5" r:id="rId6"/>
    <sheet name="Portfolio Reach" sheetId="7" r:id="rId7"/>
    <sheet name="Price Optimization" sheetId="8" r:id="rId8"/>
    <sheet name="Range Optimization"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 i="9" l="1"/>
  <c r="E7" i="9" l="1"/>
  <c r="E6" i="9"/>
  <c r="E6" i="8"/>
  <c r="E5" i="8"/>
  <c r="E6" i="7"/>
  <c r="E5" i="7"/>
  <c r="D6" i="3" l="1"/>
  <c r="D6" i="5" l="1"/>
  <c r="D7" i="5"/>
  <c r="D5" i="5"/>
  <c r="C6" i="4"/>
  <c r="C7" i="4"/>
  <c r="C5" i="4"/>
  <c r="C6" i="1"/>
  <c r="C7" i="1"/>
  <c r="C5" i="1"/>
  <c r="E5" i="2"/>
  <c r="E6" i="2"/>
  <c r="E7" i="2"/>
  <c r="E8" i="2"/>
  <c r="E9" i="2"/>
  <c r="E10" i="2"/>
  <c r="E11" i="2"/>
  <c r="E12" i="2"/>
  <c r="E13" i="2"/>
  <c r="E14" i="2"/>
  <c r="E15" i="2"/>
  <c r="E16" i="2"/>
  <c r="E17" i="2"/>
  <c r="E18" i="2"/>
  <c r="E19" i="2"/>
  <c r="D7" i="3"/>
  <c r="D8" i="3"/>
  <c r="D9" i="3"/>
  <c r="D10" i="3"/>
  <c r="D5" i="3"/>
</calcChain>
</file>

<file path=xl/sharedStrings.xml><?xml version="1.0" encoding="utf-8"?>
<sst xmlns="http://schemas.openxmlformats.org/spreadsheetml/2006/main" count="326" uniqueCount="117">
  <si>
    <t>Consistent Media Activation</t>
  </si>
  <si>
    <t>Share of Intelligent Media</t>
  </si>
  <si>
    <t>Metric Definition</t>
  </si>
  <si>
    <t>Active Weeks On Air (All Video): Number of weeks your video content is active for</t>
  </si>
  <si>
    <t>% of your audience that see your video content at least once in a 4-week period. Average 4-week 1+ Video Reach ≥ Target of 50% and &gt; LY</t>
  </si>
  <si>
    <t># Impressions of media using intelligent media practices / total # media impressions</t>
  </si>
  <si>
    <t>60% of Working A&amp;P should be invested in Paid Media</t>
  </si>
  <si>
    <t>Actual Q1</t>
  </si>
  <si>
    <t>Actual Q2</t>
  </si>
  <si>
    <t>Actual Q3</t>
  </si>
  <si>
    <t>Actual Q4</t>
  </si>
  <si>
    <t>Integration in MW Perfect Store Program</t>
  </si>
  <si>
    <t>National</t>
  </si>
  <si>
    <t>Grocery</t>
  </si>
  <si>
    <t>Tastemakers</t>
  </si>
  <si>
    <t>Perfect Store Compliance</t>
  </si>
  <si>
    <t># of 2nd Displays</t>
  </si>
  <si>
    <t>Instore</t>
  </si>
  <si>
    <t>Digital</t>
  </si>
  <si>
    <t>Granularity</t>
  </si>
  <si>
    <t>% of stores in which KIND is tracked via MW/MS Perfect Store program out of total stores in which KIND is listed</t>
  </si>
  <si>
    <t>90% of agreed picture of success KPIs (mandatory elements: instore siting, assortment)</t>
  </si>
  <si>
    <t>% of stores in which KIND is placed on checkout out of total stores in which KIND is listed</t>
  </si>
  <si>
    <t>Average number of SKUs listed in TZ</t>
  </si>
  <si>
    <t>% Investment in FM</t>
  </si>
  <si>
    <t>Avg. Cost per Contact (CPC)</t>
  </si>
  <si>
    <t>Reach (# of consumers sampled)</t>
  </si>
  <si>
    <t xml:space="preserve">Conversion rate for Instore tastings and E-commerce sampling
</t>
  </si>
  <si>
    <t>% of cases ordered by a customer that were received on time.</t>
  </si>
  <si>
    <t>Number of second displays</t>
  </si>
  <si>
    <t>Efficient Advertising Spend</t>
  </si>
  <si>
    <t>Trade Leverage</t>
  </si>
  <si>
    <t>MAC</t>
  </si>
  <si>
    <t>Penetration</t>
  </si>
  <si>
    <t>NSV (In USD)</t>
  </si>
  <si>
    <t>Impact on Category Growth</t>
  </si>
  <si>
    <t>Retailer</t>
  </si>
  <si>
    <t>Metric</t>
  </si>
  <si>
    <t>WD</t>
  </si>
  <si>
    <t>Hello User,</t>
  </si>
  <si>
    <t>Actual YTD (Q1)</t>
  </si>
  <si>
    <t>Actual YTD (Q1 &amp; Q2)</t>
  </si>
  <si>
    <t>Actual YTD (Q1,Q2&amp;Q3)</t>
  </si>
  <si>
    <t>Actual YTD (Q1,Q2,Q3&amp;Q4)</t>
  </si>
  <si>
    <t>Audience</t>
  </si>
  <si>
    <t>Share of Voice (SOV)</t>
  </si>
  <si>
    <t>% of Media Impressions vs Competition / measured in Top 5 brands in HSB</t>
  </si>
  <si>
    <t>**Please fill all the numbers in complete digits i.e. avoid millions or thousands denominations</t>
  </si>
  <si>
    <t>Please use this report to fill the quarterly Actuals for the internal metrics detailed in the sheets to follow</t>
  </si>
  <si>
    <t>OOH/Impulse</t>
  </si>
  <si>
    <t>Format</t>
  </si>
  <si>
    <t>Incorrect Input</t>
  </si>
  <si>
    <t>Correct Input</t>
  </si>
  <si>
    <t>Macro Test</t>
  </si>
  <si>
    <t>NA</t>
  </si>
  <si>
    <t>Whole Number (With no decimal values)</t>
  </si>
  <si>
    <t>24 WOA</t>
  </si>
  <si>
    <t>Comments</t>
  </si>
  <si>
    <t>11.5K</t>
  </si>
  <si>
    <t>#3</t>
  </si>
  <si>
    <t>To be filled for just UK Market, other users should add 0 as an input</t>
  </si>
  <si>
    <t>**Impact on Category Growth only to be filled for UK, RU KSA and UAE markets, all other users should add 0 as input</t>
  </si>
  <si>
    <t>Benchmark - 1</t>
  </si>
  <si>
    <t>Benchmark - 2</t>
  </si>
  <si>
    <t>Benchmark - 3</t>
  </si>
  <si>
    <t>Metrics</t>
  </si>
  <si>
    <r>
      <rPr>
        <b/>
        <sz val="11"/>
        <color theme="1"/>
        <rFont val="Calibri"/>
        <family val="2"/>
        <scheme val="minor"/>
      </rPr>
      <t>How to fill</t>
    </r>
    <r>
      <rPr>
        <sz val="11"/>
        <color theme="1"/>
        <rFont val="Calibri"/>
        <family val="2"/>
        <scheme val="minor"/>
      </rPr>
      <t xml:space="preserve">- Please fill the values in column Actual Q1 in yellow color. 
When the sheet is filled please press the button on right to trigger the macro to verify the input values
Please re enter the values in correct format if it fails the "macro test" </t>
    </r>
  </si>
  <si>
    <t>Q1 input</t>
  </si>
  <si>
    <t>Instructions</t>
  </si>
  <si>
    <t>2.46M</t>
  </si>
  <si>
    <t>24600000 or 2.46</t>
  </si>
  <si>
    <t xml:space="preserve">1+ High Quality Reach </t>
  </si>
  <si>
    <t>% of Investment in Paid Media</t>
  </si>
  <si>
    <t xml:space="preserve">% of Investment in Paid Media </t>
  </si>
  <si>
    <t>**Conventions to be used</t>
  </si>
  <si>
    <t>**Only fill the Yellow Colored Columns. As a fail-safe step, please run the macro on "Read Me" tab to pass the input test</t>
  </si>
  <si>
    <t>12,35</t>
  </si>
  <si>
    <t>Number with no symbols</t>
  </si>
  <si>
    <t>Number with "M" symbol</t>
  </si>
  <si>
    <t>25000000 or 2.5</t>
  </si>
  <si>
    <t xml:space="preserve"> </t>
  </si>
  <si>
    <t>TZ Coverage</t>
  </si>
  <si>
    <t>Field Marketing Investment % of Total A&amp;P</t>
  </si>
  <si>
    <t>Field Marketing Cost Per Contact (in USD)</t>
  </si>
  <si>
    <t>Field Marketing Reach (Consumers Sampled)</t>
  </si>
  <si>
    <t>Field Marketing Conversion Rate % (Consumers Bought After Sampled)</t>
  </si>
  <si>
    <t>Case Fill Rate</t>
  </si>
  <si>
    <t>TZ SKU Count</t>
  </si>
  <si>
    <t>Do not use any symbol such as "$", "%" or "," in the cells</t>
  </si>
  <si>
    <t>Use "." as a separator instead of "," for decimal values</t>
  </si>
  <si>
    <t>Go through the acceptable formats for the metrics before filling the values</t>
  </si>
  <si>
    <t>Convert USD values in Million format along with "M" as suffix. Eg - 2,500,000 should be represented as 2.5M or 60,000 should be represented as 0.06M</t>
  </si>
  <si>
    <t>If the metrics are not appicable for your market, leave the cell blank</t>
  </si>
  <si>
    <t>Partition</t>
  </si>
  <si>
    <t>FRUIT &amp; NUT BARS SINGLE</t>
  </si>
  <si>
    <t>ENERGY &amp; PERFORMANCE BARS SINGLE</t>
  </si>
  <si>
    <t>Price Competitiveness</t>
  </si>
  <si>
    <t>Price Competitiveness measures our price index against those of our key competitors. Where available Base Price/Unit should be used to avoid promo impact. It should be measured at Partition level on a quarterly basis.</t>
  </si>
  <si>
    <t>Platform</t>
  </si>
  <si>
    <t>Rate of Sale on Brand &amp; Platform level</t>
  </si>
  <si>
    <t>It measures how fast a product is moving in the stores where it is in distribution (Rate of Sale - Units/Store/Week)</t>
  </si>
  <si>
    <t>FRUIT &amp; NUT BARS</t>
  </si>
  <si>
    <t>ENERGY &amp; PERFORMANCE BARS</t>
  </si>
  <si>
    <t>if 60000, convert it to 0.06M</t>
  </si>
  <si>
    <t>#40</t>
  </si>
  <si>
    <t>Rate of Sales</t>
  </si>
  <si>
    <t>KIND Value Share (% of within partition)</t>
  </si>
  <si>
    <t>Value Share (%) within respective Partition</t>
  </si>
  <si>
    <t>Total KIND</t>
  </si>
  <si>
    <t xml:space="preserve">For Japan &amp; UK, sheet named "Channel Reach" will be filled by the team with market specific "Retailers" in each market and separately </t>
  </si>
  <si>
    <t>Number with "M" or "m" symbol</t>
  </si>
  <si>
    <t>2.5M or 2.5m</t>
  </si>
  <si>
    <t>Do not change the names of individual sheets, column headers and descriptions present in the file</t>
  </si>
  <si>
    <t>FamilyMart</t>
  </si>
  <si>
    <t>Lawson</t>
  </si>
  <si>
    <t>7-11</t>
  </si>
  <si>
    <t>Please read the below "General Instructions" and comply with the number formating "Conventions" detailed on each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</si>
</sst>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43" formatCode="_(* #,##0.00_);_(* \(#,##0.00\);_(* &quot;-&quot;??_);_(@_)"/>
    <numFmt numFmtId="164" formatCode="#,000%"/>
  </numFmts>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charset val="238"/>
      <scheme val="minor"/>
    </font>
    <font>
      <sz val="8"/>
      <name val="Calibri"/>
      <family val="2"/>
      <scheme val="minor"/>
    </font>
    <font>
      <sz val="12"/>
      <color theme="1"/>
      <name val="Calibri"/>
      <family val="2"/>
      <scheme val="minor"/>
    </font>
    <font>
      <sz val="12"/>
      <color rgb="FF000000"/>
      <name val="Calibri"/>
      <family val="2"/>
    </font>
    <font>
      <sz val="11"/>
      <color rgb="FFC00000"/>
      <name val="Calibri"/>
      <family val="2"/>
      <scheme val="minor"/>
    </font>
    <font>
      <sz val="11"/>
      <color rgb="FFFF0000"/>
      <name val="Calibri"/>
      <family val="2"/>
      <scheme val="minor"/>
    </font>
    <font>
      <sz val="11"/>
      <color rgb="FF000000"/>
      <name val="Calibri"/>
      <family val="2"/>
    </font>
    <font>
      <b/>
      <u/>
      <sz val="14"/>
      <color rgb="FFFF0000"/>
      <name val="Calibri"/>
      <family val="2"/>
      <scheme val="minor"/>
    </font>
    <font>
      <b/>
      <sz val="14"/>
      <color rgb="FFFF0000"/>
      <name val="Calibri"/>
      <family val="2"/>
      <scheme val="minor"/>
    </font>
    <font>
      <sz val="11"/>
      <color rgb="FF00B050"/>
      <name val="Calibri"/>
      <family val="2"/>
      <scheme val="minor"/>
    </font>
    <font>
      <b/>
      <sz val="11"/>
      <color rgb="FFFF0000"/>
      <name val="Calibri"/>
      <family val="2"/>
      <scheme val="minor"/>
    </font>
    <font>
      <sz val="7"/>
      <color theme="1"/>
      <name val="Segoe UI"/>
      <family val="2"/>
    </font>
  </fonts>
  <fills count="10">
    <fill>
      <patternFill patternType="none"/>
    </fill>
    <fill>
      <patternFill patternType="gray125"/>
    </fill>
    <fill>
      <patternFill patternType="solid">
        <fgColor theme="7"/>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rgb="FFFFFFFF"/>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43" fontId="1" fillId="0" borderId="0" applyFont="0" applyFill="0" applyBorder="0" applyAlignment="0" applyProtection="0"/>
    <xf numFmtId="0" fontId="3" fillId="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53">
    <xf numFmtId="0" fontId="0" fillId="0" borderId="0" xfId="0"/>
    <xf numFmtId="43" fontId="0" fillId="3" borderId="1" xfId="0" applyNumberFormat="1" applyFill="1" applyBorder="1" applyAlignment="1">
      <alignment vertical="center" wrapText="1"/>
    </xf>
    <xf numFmtId="0" fontId="0" fillId="3" borderId="1" xfId="0" applyFill="1" applyBorder="1" applyAlignment="1">
      <alignment vertical="center" wrapText="1"/>
    </xf>
    <xf numFmtId="43" fontId="2" fillId="3" borderId="1" xfId="0" applyNumberFormat="1" applyFont="1" applyFill="1" applyBorder="1" applyAlignment="1">
      <alignment vertical="center" wrapText="1"/>
    </xf>
    <xf numFmtId="43" fontId="2" fillId="6" borderId="1" xfId="0" applyNumberFormat="1" applyFont="1" applyFill="1" applyBorder="1" applyAlignment="1">
      <alignment vertical="center" wrapText="1"/>
    </xf>
    <xf numFmtId="43" fontId="0" fillId="6" borderId="1" xfId="0" applyNumberFormat="1" applyFill="1" applyBorder="1" applyAlignment="1">
      <alignment vertical="center" wrapText="1"/>
    </xf>
    <xf numFmtId="0" fontId="0" fillId="6" borderId="1" xfId="0" applyFill="1" applyBorder="1" applyAlignment="1">
      <alignment vertical="center" wrapText="1"/>
    </xf>
    <xf numFmtId="0" fontId="2" fillId="0" borderId="0" xfId="0" applyFont="1"/>
    <xf numFmtId="43" fontId="2" fillId="0" borderId="0" xfId="0" applyNumberFormat="1" applyFont="1" applyFill="1" applyBorder="1" applyAlignment="1">
      <alignment vertical="center" wrapText="1"/>
    </xf>
    <xf numFmtId="0" fontId="10" fillId="0" borderId="0" xfId="0" applyFont="1"/>
    <xf numFmtId="0" fontId="11" fillId="0" borderId="0" xfId="0" applyFont="1"/>
    <xf numFmtId="0" fontId="0" fillId="0" borderId="0" xfId="0" applyProtection="1">
      <protection locked="0"/>
    </xf>
    <xf numFmtId="43" fontId="2" fillId="3" borderId="1" xfId="0" applyNumberFormat="1" applyFont="1" applyFill="1" applyBorder="1" applyAlignment="1" applyProtection="1">
      <alignment horizontal="center" vertical="center" wrapText="1"/>
      <protection locked="0"/>
    </xf>
    <xf numFmtId="43" fontId="2" fillId="3" borderId="1" xfId="0" applyNumberFormat="1" applyFont="1" applyFill="1" applyBorder="1" applyAlignment="1" applyProtection="1">
      <alignment horizontal="center" vertical="center"/>
      <protection locked="0"/>
    </xf>
    <xf numFmtId="0" fontId="0" fillId="5" borderId="1" xfId="0" applyFill="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9" fontId="2" fillId="7" borderId="1" xfId="4" applyFont="1" applyFill="1" applyBorder="1" applyAlignment="1" applyProtection="1">
      <alignment horizontal="center"/>
      <protection locked="0"/>
    </xf>
    <xf numFmtId="0" fontId="2" fillId="7"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8" fillId="0" borderId="1" xfId="0" applyFont="1" applyBorder="1" applyProtection="1">
      <protection locked="0"/>
    </xf>
    <xf numFmtId="0" fontId="7" fillId="0" borderId="0" xfId="0" applyFont="1" applyProtection="1">
      <protection locked="0"/>
    </xf>
    <xf numFmtId="0" fontId="2" fillId="5" borderId="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43" fontId="2" fillId="6" borderId="1" xfId="0" applyNumberFormat="1" applyFont="1"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2" fontId="0" fillId="6" borderId="1" xfId="0" applyNumberFormat="1" applyFill="1" applyBorder="1" applyAlignment="1" applyProtection="1">
      <alignment horizontal="center" vertical="center" wrapText="1"/>
    </xf>
    <xf numFmtId="43" fontId="2" fillId="6" borderId="1" xfId="0" applyNumberFormat="1" applyFont="1" applyFill="1" applyBorder="1" applyAlignment="1" applyProtection="1">
      <alignment vertical="center" wrapText="1"/>
    </xf>
    <xf numFmtId="0" fontId="0" fillId="6" borderId="1" xfId="0" applyFill="1" applyBorder="1" applyAlignment="1" applyProtection="1">
      <alignment vertical="center" wrapText="1"/>
    </xf>
    <xf numFmtId="43" fontId="0" fillId="6" borderId="1" xfId="0" applyNumberFormat="1" applyFill="1" applyBorder="1" applyAlignment="1" applyProtection="1">
      <alignment vertical="center" wrapText="1"/>
    </xf>
    <xf numFmtId="9" fontId="0" fillId="0" borderId="1" xfId="4" applyFont="1" applyBorder="1" applyAlignment="1" applyProtection="1">
      <alignment horizontal="center" vertical="center"/>
      <protection locked="0"/>
    </xf>
    <xf numFmtId="43" fontId="5" fillId="5" borderId="1" xfId="1" applyFont="1" applyFill="1" applyBorder="1" applyAlignment="1" applyProtection="1">
      <alignment vertical="top" wrapText="1"/>
    </xf>
    <xf numFmtId="0" fontId="5" fillId="4" borderId="1" xfId="1" applyNumberFormat="1" applyFont="1" applyFill="1" applyBorder="1" applyAlignment="1" applyProtection="1">
      <alignment vertical="top" wrapText="1"/>
    </xf>
    <xf numFmtId="43" fontId="5" fillId="4" borderId="1" xfId="1" applyFont="1" applyFill="1" applyBorder="1" applyAlignment="1" applyProtection="1">
      <alignment horizontal="center" vertical="center" wrapText="1"/>
    </xf>
    <xf numFmtId="2" fontId="0" fillId="6" borderId="1" xfId="0" applyNumberFormat="1" applyFill="1" applyBorder="1" applyAlignment="1" applyProtection="1">
      <alignment vertical="center" wrapText="1"/>
    </xf>
    <xf numFmtId="43" fontId="5" fillId="5" borderId="1" xfId="1" applyFont="1" applyFill="1" applyBorder="1" applyAlignment="1" applyProtection="1">
      <alignment horizontal="left" vertical="top" wrapText="1"/>
    </xf>
    <xf numFmtId="0" fontId="5" fillId="4" borderId="1" xfId="1" applyNumberFormat="1" applyFont="1" applyFill="1" applyBorder="1" applyAlignment="1" applyProtection="1">
      <alignment horizontal="left" vertical="top" wrapText="1"/>
    </xf>
    <xf numFmtId="0" fontId="6" fillId="4" borderId="1" xfId="0" applyFont="1" applyFill="1" applyBorder="1" applyAlignment="1" applyProtection="1">
      <alignment horizontal="center" vertical="top" wrapText="1"/>
    </xf>
    <xf numFmtId="0" fontId="0" fillId="4" borderId="1" xfId="0" applyFill="1" applyBorder="1" applyAlignment="1" applyProtection="1">
      <alignment vertical="top" wrapText="1"/>
    </xf>
    <xf numFmtId="0" fontId="2" fillId="5" borderId="1" xfId="0" applyFont="1" applyFill="1" applyBorder="1" applyAlignment="1" applyProtection="1">
      <alignment horizontal="center"/>
    </xf>
    <xf numFmtId="0" fontId="5" fillId="5" borderId="1" xfId="0" quotePrefix="1" applyFont="1" applyFill="1" applyBorder="1" applyAlignment="1" applyProtection="1">
      <alignment horizontal="center" vertical="center"/>
    </xf>
    <xf numFmtId="0" fontId="0" fillId="0" borderId="0" xfId="0" applyFont="1" applyFill="1" applyProtection="1">
      <protection locked="0"/>
    </xf>
    <xf numFmtId="43" fontId="2" fillId="3" borderId="1" xfId="0" applyNumberFormat="1" applyFont="1" applyFill="1" applyBorder="1" applyAlignment="1" applyProtection="1">
      <alignment vertical="center" wrapText="1"/>
      <protection locked="0"/>
    </xf>
    <xf numFmtId="0" fontId="5" fillId="5" borderId="1" xfId="0" quotePrefix="1" applyFont="1" applyFill="1" applyBorder="1" applyAlignment="1" applyProtection="1">
      <alignment horizontal="center" vertical="center"/>
      <protection locked="0"/>
    </xf>
    <xf numFmtId="43" fontId="0" fillId="0" borderId="0" xfId="0" applyNumberFormat="1" applyProtection="1">
      <protection locked="0"/>
    </xf>
    <xf numFmtId="9" fontId="0" fillId="5" borderId="1" xfId="4" applyFont="1" applyFill="1" applyBorder="1" applyProtection="1">
      <protection locked="0"/>
    </xf>
    <xf numFmtId="0" fontId="7" fillId="0" borderId="1" xfId="0" applyFont="1" applyBorder="1" applyProtection="1">
      <protection locked="0"/>
    </xf>
    <xf numFmtId="43" fontId="0" fillId="0" borderId="0" xfId="1" applyFont="1" applyProtection="1">
      <protection locked="0"/>
    </xf>
    <xf numFmtId="10" fontId="0" fillId="0" borderId="0" xfId="0" applyNumberFormat="1" applyProtection="1">
      <protection locked="0"/>
    </xf>
    <xf numFmtId="0" fontId="0" fillId="5" borderId="1" xfId="0" applyFill="1" applyBorder="1" applyAlignment="1" applyProtection="1">
      <alignment horizontal="center"/>
    </xf>
    <xf numFmtId="0" fontId="0" fillId="5" borderId="1" xfId="0" applyFill="1" applyBorder="1" applyProtection="1"/>
    <xf numFmtId="0" fontId="0" fillId="4" borderId="1" xfId="0" applyFont="1" applyFill="1" applyBorder="1" applyProtection="1">
      <protection locked="0"/>
    </xf>
    <xf numFmtId="9" fontId="2" fillId="0" borderId="0" xfId="4" applyFont="1" applyFill="1" applyBorder="1" applyAlignment="1" applyProtection="1">
      <alignment horizontal="center"/>
      <protection locked="0"/>
    </xf>
    <xf numFmtId="9" fontId="0" fillId="0" borderId="0" xfId="4" applyFont="1" applyFill="1" applyBorder="1" applyProtection="1">
      <protection locked="0"/>
    </xf>
    <xf numFmtId="0" fontId="2" fillId="4" borderId="1" xfId="0" applyFont="1" applyFill="1" applyBorder="1" applyProtection="1"/>
    <xf numFmtId="0" fontId="5" fillId="4" borderId="1" xfId="0" applyFont="1" applyFill="1" applyBorder="1" applyAlignment="1" applyProtection="1">
      <alignment vertical="center"/>
    </xf>
    <xf numFmtId="0" fontId="5" fillId="4" borderId="1" xfId="0" applyFont="1" applyFill="1" applyBorder="1" applyAlignment="1" applyProtection="1">
      <alignment horizontal="left"/>
    </xf>
    <xf numFmtId="0" fontId="0" fillId="4" borderId="1" xfId="0" applyFont="1" applyFill="1" applyBorder="1" applyProtection="1"/>
    <xf numFmtId="0" fontId="0" fillId="6" borderId="1" xfId="0" applyFont="1" applyFill="1" applyBorder="1" applyAlignment="1" applyProtection="1">
      <alignment vertical="center" wrapText="1"/>
    </xf>
    <xf numFmtId="2" fontId="0" fillId="0" borderId="0" xfId="0" applyNumberFormat="1" applyProtection="1">
      <protection locked="0"/>
    </xf>
    <xf numFmtId="2" fontId="0" fillId="8" borderId="0" xfId="0" applyNumberFormat="1" applyFill="1" applyBorder="1" applyAlignment="1" applyProtection="1">
      <alignment horizontal="center" vertical="center"/>
      <protection locked="0"/>
    </xf>
    <xf numFmtId="43" fontId="0" fillId="8" borderId="0" xfId="0" applyNumberFormat="1" applyFill="1" applyBorder="1" applyAlignment="1" applyProtection="1">
      <alignment vertical="center" wrapText="1"/>
    </xf>
    <xf numFmtId="0" fontId="0" fillId="8" borderId="0" xfId="0" applyFill="1" applyBorder="1" applyAlignment="1" applyProtection="1">
      <alignment horizontal="center" vertical="center"/>
      <protection locked="0"/>
    </xf>
    <xf numFmtId="0" fontId="12" fillId="8" borderId="1" xfId="0" applyFont="1" applyFill="1" applyBorder="1" applyAlignment="1" applyProtection="1">
      <alignment horizontal="center"/>
      <protection locked="0"/>
    </xf>
    <xf numFmtId="43" fontId="8" fillId="8" borderId="1" xfId="0" applyNumberFormat="1" applyFont="1" applyFill="1" applyBorder="1" applyAlignment="1" applyProtection="1">
      <alignment horizontal="center" vertical="center" wrapText="1"/>
      <protection locked="0"/>
    </xf>
    <xf numFmtId="10" fontId="8" fillId="8" borderId="1" xfId="0" applyNumberFormat="1" applyFont="1" applyFill="1" applyBorder="1" applyAlignment="1" applyProtection="1">
      <alignment horizontal="center"/>
      <protection locked="0"/>
    </xf>
    <xf numFmtId="0" fontId="8" fillId="8" borderId="1" xfId="0" applyNumberFormat="1" applyFont="1" applyFill="1" applyBorder="1" applyAlignment="1" applyProtection="1">
      <alignment horizontal="center"/>
      <protection locked="0"/>
    </xf>
    <xf numFmtId="0" fontId="8" fillId="8" borderId="1" xfId="0" applyFont="1" applyFill="1" applyBorder="1" applyAlignment="1" applyProtection="1">
      <alignment horizontal="center"/>
      <protection locked="0"/>
    </xf>
    <xf numFmtId="8" fontId="8" fillId="8" borderId="1" xfId="0" applyNumberFormat="1" applyFont="1" applyFill="1" applyBorder="1" applyAlignment="1" applyProtection="1">
      <alignment horizontal="center"/>
      <protection locked="0"/>
    </xf>
    <xf numFmtId="9" fontId="8" fillId="8" borderId="1" xfId="0" applyNumberFormat="1" applyFont="1" applyFill="1" applyBorder="1" applyAlignment="1" applyProtection="1">
      <alignment horizontal="center" vertical="center" wrapText="1"/>
      <protection locked="0"/>
    </xf>
    <xf numFmtId="9" fontId="8" fillId="8" borderId="1" xfId="4" applyFont="1" applyFill="1" applyBorder="1" applyProtection="1">
      <protection locked="0"/>
    </xf>
    <xf numFmtId="0" fontId="12" fillId="8" borderId="1" xfId="4" applyNumberFormat="1" applyFont="1" applyFill="1" applyBorder="1" applyProtection="1">
      <protection locked="0"/>
    </xf>
    <xf numFmtId="49" fontId="0" fillId="3" borderId="1" xfId="0" applyNumberFormat="1" applyFill="1" applyBorder="1" applyAlignment="1" applyProtection="1">
      <alignment horizontal="center" vertical="center"/>
      <protection locked="0"/>
    </xf>
    <xf numFmtId="164" fontId="0" fillId="0" borderId="0" xfId="0" applyNumberFormat="1" applyProtection="1">
      <protection locked="0"/>
    </xf>
    <xf numFmtId="9" fontId="0" fillId="0" borderId="0" xfId="0" applyNumberFormat="1" applyProtection="1">
      <protection locked="0"/>
    </xf>
    <xf numFmtId="49" fontId="0" fillId="3" borderId="1" xfId="0" applyNumberFormat="1" applyFill="1" applyBorder="1" applyAlignment="1" applyProtection="1">
      <alignment horizontal="center" vertical="center" wrapText="1"/>
      <protection locked="0"/>
    </xf>
    <xf numFmtId="0" fontId="0" fillId="0" borderId="0" xfId="0" applyNumberFormat="1" applyAlignment="1" applyProtection="1">
      <alignment horizontal="center"/>
      <protection locked="0"/>
    </xf>
    <xf numFmtId="0" fontId="2" fillId="3" borderId="1" xfId="0" applyNumberFormat="1" applyFont="1" applyFill="1" applyBorder="1" applyAlignment="1" applyProtection="1">
      <alignment horizontal="center" vertical="center" wrapText="1"/>
      <protection locked="0"/>
    </xf>
    <xf numFmtId="0" fontId="0" fillId="0" borderId="1" xfId="0" applyNumberFormat="1" applyBorder="1" applyAlignment="1" applyProtection="1">
      <alignment horizontal="center"/>
      <protection locked="0"/>
    </xf>
    <xf numFmtId="0" fontId="7" fillId="0" borderId="1" xfId="0" applyNumberFormat="1" applyFont="1" applyBorder="1" applyAlignment="1" applyProtection="1">
      <alignment horizontal="center"/>
      <protection locked="0"/>
    </xf>
    <xf numFmtId="0" fontId="0" fillId="0" borderId="0" xfId="0" applyAlignment="1" applyProtection="1">
      <alignment horizontal="center" vertical="center"/>
      <protection locked="0"/>
    </xf>
    <xf numFmtId="43" fontId="5" fillId="8" borderId="0" xfId="1" applyFont="1" applyFill="1" applyBorder="1" applyAlignment="1" applyProtection="1">
      <alignment horizontal="left" vertical="top" wrapText="1"/>
    </xf>
    <xf numFmtId="0" fontId="0" fillId="8" borderId="0" xfId="0" applyFill="1" applyBorder="1" applyAlignment="1" applyProtection="1">
      <alignment vertical="top" wrapText="1"/>
    </xf>
    <xf numFmtId="43" fontId="5" fillId="8" borderId="0" xfId="1" applyFont="1" applyFill="1" applyBorder="1" applyAlignment="1" applyProtection="1">
      <alignment horizontal="center" vertical="center" wrapText="1"/>
    </xf>
    <xf numFmtId="2" fontId="0" fillId="8" borderId="0" xfId="0" applyNumberFormat="1" applyFill="1" applyBorder="1" applyAlignment="1" applyProtection="1">
      <alignment vertical="center" wrapText="1"/>
    </xf>
    <xf numFmtId="49" fontId="0" fillId="8" borderId="0" xfId="0" applyNumberFormat="1" applyFill="1" applyBorder="1" applyAlignment="1" applyProtection="1">
      <alignment horizontal="center" vertical="center" wrapText="1"/>
      <protection locked="0"/>
    </xf>
    <xf numFmtId="43" fontId="5" fillId="5" borderId="1" xfId="1" applyFont="1" applyFill="1" applyBorder="1" applyAlignment="1" applyProtection="1">
      <alignment horizontal="center" vertical="top"/>
    </xf>
    <xf numFmtId="43" fontId="5" fillId="5" borderId="1" xfId="1" applyFont="1" applyFill="1" applyBorder="1" applyAlignment="1" applyProtection="1">
      <alignment horizontal="center" vertical="top" wrapText="1"/>
    </xf>
    <xf numFmtId="0" fontId="13" fillId="8" borderId="0" xfId="0" applyFont="1" applyFill="1" applyBorder="1" applyAlignment="1" applyProtection="1">
      <alignment vertical="center" wrapText="1"/>
    </xf>
    <xf numFmtId="49" fontId="0" fillId="3" borderId="1" xfId="0" applyNumberFormat="1" applyFill="1" applyBorder="1" applyAlignment="1" applyProtection="1">
      <alignment vertical="center" wrapText="1"/>
      <protection locked="0"/>
    </xf>
    <xf numFmtId="49" fontId="0" fillId="3" borderId="1" xfId="4" applyNumberFormat="1" applyFont="1" applyFill="1" applyBorder="1" applyAlignment="1" applyProtection="1">
      <alignment vertical="center" wrapText="1"/>
      <protection locked="0"/>
    </xf>
    <xf numFmtId="49" fontId="0" fillId="3" borderId="1" xfId="0" applyNumberFormat="1" applyFill="1" applyBorder="1" applyAlignment="1" applyProtection="1">
      <alignment vertical="center"/>
      <protection locked="0"/>
    </xf>
    <xf numFmtId="49" fontId="0" fillId="3" borderId="1" xfId="3" applyNumberFormat="1" applyFont="1" applyFill="1" applyBorder="1" applyAlignment="1" applyProtection="1">
      <alignment vertical="center"/>
      <protection locked="0"/>
    </xf>
    <xf numFmtId="43" fontId="2" fillId="6" borderId="1" xfId="0" applyNumberFormat="1" applyFont="1" applyFill="1" applyBorder="1" applyAlignment="1" applyProtection="1">
      <alignment vertical="center" wrapText="1"/>
      <protection locked="0"/>
    </xf>
    <xf numFmtId="0" fontId="0" fillId="6" borderId="1" xfId="0" applyFill="1" applyBorder="1" applyAlignment="1" applyProtection="1">
      <alignment vertical="center" wrapText="1"/>
      <protection locked="0"/>
    </xf>
    <xf numFmtId="43" fontId="0" fillId="6" borderId="1" xfId="0" applyNumberFormat="1" applyFill="1" applyBorder="1" applyAlignment="1" applyProtection="1">
      <alignment vertical="center" wrapText="1"/>
      <protection locked="0"/>
    </xf>
    <xf numFmtId="0" fontId="0" fillId="8" borderId="0" xfId="0" applyFill="1" applyBorder="1" applyAlignment="1" applyProtection="1">
      <alignment horizontal="center" vertical="center" wrapText="1"/>
      <protection locked="0"/>
    </xf>
    <xf numFmtId="2" fontId="0" fillId="8" borderId="0" xfId="0" applyNumberFormat="1" applyFill="1" applyBorder="1" applyAlignment="1" applyProtection="1">
      <alignment horizontal="center" vertical="center" wrapText="1"/>
      <protection locked="0"/>
    </xf>
    <xf numFmtId="43" fontId="0" fillId="8" borderId="0" xfId="0" applyNumberFormat="1" applyFill="1" applyBorder="1" applyAlignment="1" applyProtection="1">
      <alignment vertical="center" wrapText="1"/>
      <protection locked="0"/>
    </xf>
    <xf numFmtId="0" fontId="13" fillId="8" borderId="0" xfId="0" applyFont="1" applyFill="1" applyBorder="1" applyAlignment="1" applyProtection="1">
      <alignment horizontal="center" vertical="center" wrapText="1"/>
      <protection locked="0"/>
    </xf>
    <xf numFmtId="0" fontId="0" fillId="0" borderId="0" xfId="0" applyProtection="1"/>
    <xf numFmtId="0" fontId="0" fillId="0" borderId="0" xfId="0" applyNumberFormat="1" applyAlignment="1" applyProtection="1">
      <alignment horizontal="center"/>
    </xf>
    <xf numFmtId="0" fontId="0" fillId="0" borderId="0" xfId="0" applyFont="1" applyFill="1" applyProtection="1"/>
    <xf numFmtId="0" fontId="2" fillId="4" borderId="1" xfId="0" applyFont="1" applyFill="1" applyBorder="1" applyAlignment="1">
      <alignment horizontal="center" vertical="center" wrapText="1"/>
    </xf>
    <xf numFmtId="43" fontId="2" fillId="6" borderId="1"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0" fontId="0" fillId="6" borderId="1" xfId="0" applyFill="1" applyBorder="1" applyAlignment="1">
      <alignment horizontal="center" vertical="center" wrapText="1"/>
    </xf>
    <xf numFmtId="43" fontId="0" fillId="6"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0" fontId="2" fillId="3" borderId="1" xfId="0" applyFont="1" applyFill="1" applyBorder="1" applyAlignment="1" applyProtection="1">
      <alignment vertical="center" wrapText="1"/>
      <protection locked="0"/>
    </xf>
    <xf numFmtId="0" fontId="5" fillId="4" borderId="1" xfId="0" applyFont="1" applyFill="1" applyBorder="1" applyAlignment="1">
      <alignment horizontal="left" vertical="center" wrapText="1"/>
    </xf>
    <xf numFmtId="2" fontId="0" fillId="6" borderId="1" xfId="0" applyNumberFormat="1" applyFill="1" applyBorder="1" applyAlignment="1">
      <alignment vertical="center" wrapText="1"/>
    </xf>
    <xf numFmtId="0" fontId="13" fillId="8" borderId="3" xfId="0" applyFont="1" applyFill="1" applyBorder="1" applyAlignment="1" applyProtection="1"/>
    <xf numFmtId="0" fontId="13" fillId="8" borderId="4" xfId="0" applyFont="1" applyFill="1" applyBorder="1" applyAlignment="1" applyProtection="1"/>
    <xf numFmtId="10" fontId="8" fillId="8" borderId="1" xfId="4" applyNumberFormat="1" applyFont="1" applyFill="1" applyBorder="1" applyProtection="1">
      <protection locked="0"/>
    </xf>
    <xf numFmtId="0" fontId="0" fillId="8" borderId="0" xfId="0" applyFont="1" applyFill="1" applyBorder="1" applyProtection="1"/>
    <xf numFmtId="0" fontId="5" fillId="8" borderId="0" xfId="0" applyFont="1" applyFill="1" applyBorder="1" applyAlignment="1" applyProtection="1">
      <alignment horizontal="left"/>
    </xf>
    <xf numFmtId="49" fontId="0" fillId="8" borderId="0" xfId="3" applyNumberFormat="1" applyFont="1" applyFill="1" applyBorder="1" applyAlignment="1" applyProtection="1">
      <alignment vertical="center"/>
      <protection locked="0"/>
    </xf>
    <xf numFmtId="0" fontId="0" fillId="8" borderId="0" xfId="0" applyFont="1" applyFill="1" applyBorder="1" applyAlignment="1" applyProtection="1">
      <alignment vertical="center" wrapText="1"/>
    </xf>
    <xf numFmtId="0" fontId="0" fillId="8" borderId="0" xfId="0" applyFill="1" applyProtection="1">
      <protection locked="0"/>
    </xf>
    <xf numFmtId="0" fontId="13" fillId="8" borderId="0" xfId="0" applyFont="1" applyFill="1" applyBorder="1" applyAlignment="1" applyProtection="1">
      <alignment vertical="center"/>
    </xf>
    <xf numFmtId="0" fontId="12" fillId="8" borderId="1" xfId="4" applyNumberFormat="1" applyFont="1" applyFill="1" applyBorder="1" applyAlignment="1" applyProtection="1">
      <alignment horizontal="center" vertical="center"/>
      <protection locked="0"/>
    </xf>
    <xf numFmtId="9" fontId="8" fillId="8" borderId="1" xfId="4" applyFont="1" applyFill="1" applyBorder="1" applyAlignment="1" applyProtection="1">
      <alignment horizontal="center" vertical="center"/>
      <protection locked="0"/>
    </xf>
    <xf numFmtId="49" fontId="0" fillId="3" borderId="1" xfId="0" applyNumberFormat="1" applyFont="1" applyFill="1" applyBorder="1" applyAlignment="1" applyProtection="1">
      <alignment horizontal="center" vertical="center" wrapText="1"/>
      <protection locked="0"/>
    </xf>
    <xf numFmtId="49" fontId="0" fillId="0" borderId="0" xfId="0" applyNumberFormat="1" applyProtection="1">
      <protection locked="0"/>
    </xf>
    <xf numFmtId="11" fontId="14" fillId="0" borderId="0" xfId="0" applyNumberFormat="1" applyFont="1" applyAlignment="1">
      <alignment vertical="center" wrapText="1"/>
    </xf>
    <xf numFmtId="0" fontId="0" fillId="8" borderId="1" xfId="0" applyFill="1" applyBorder="1" applyAlignment="1" applyProtection="1">
      <alignment horizontal="center" vertical="center"/>
      <protection locked="0"/>
    </xf>
    <xf numFmtId="0" fontId="0" fillId="8" borderId="1" xfId="0" applyFont="1" applyFill="1" applyBorder="1" applyProtection="1">
      <protection locked="0"/>
    </xf>
    <xf numFmtId="0" fontId="0" fillId="8" borderId="1" xfId="0" applyFill="1" applyBorder="1" applyProtection="1">
      <protection locked="0"/>
    </xf>
    <xf numFmtId="0" fontId="0" fillId="8" borderId="1" xfId="0" applyFill="1" applyBorder="1" applyAlignment="1" applyProtection="1">
      <alignment vertical="center"/>
      <protection locked="0"/>
    </xf>
    <xf numFmtId="43" fontId="0" fillId="8" borderId="1" xfId="0" applyNumberFormat="1" applyFont="1" applyFill="1" applyBorder="1" applyAlignment="1" applyProtection="1">
      <alignment horizontal="center" vertical="center"/>
      <protection locked="0"/>
    </xf>
    <xf numFmtId="49" fontId="5" fillId="4" borderId="1" xfId="0" applyNumberFormat="1" applyFont="1" applyFill="1" applyBorder="1" applyAlignment="1" applyProtection="1">
      <alignment horizontal="left"/>
    </xf>
    <xf numFmtId="0" fontId="0" fillId="9" borderId="0" xfId="0" applyFill="1" applyBorder="1" applyProtection="1">
      <protection locked="0"/>
    </xf>
    <xf numFmtId="0" fontId="13" fillId="0" borderId="0" xfId="0" applyFont="1"/>
    <xf numFmtId="0" fontId="0" fillId="0" borderId="0" xfId="0" applyAlignment="1">
      <alignment vertical="top" wrapText="1"/>
    </xf>
    <xf numFmtId="0" fontId="13" fillId="8" borderId="2" xfId="0" applyFont="1" applyFill="1" applyBorder="1" applyAlignment="1" applyProtection="1">
      <alignment horizontal="center"/>
    </xf>
    <xf numFmtId="0" fontId="13" fillId="8" borderId="3" xfId="0" applyFont="1" applyFill="1" applyBorder="1" applyAlignment="1" applyProtection="1">
      <alignment horizontal="center"/>
    </xf>
    <xf numFmtId="0" fontId="13" fillId="8" borderId="4" xfId="0" applyFont="1" applyFill="1" applyBorder="1" applyAlignment="1" applyProtection="1">
      <alignment horizontal="center"/>
    </xf>
    <xf numFmtId="0" fontId="13" fillId="8" borderId="2" xfId="0" applyFont="1" applyFill="1" applyBorder="1" applyAlignment="1" applyProtection="1">
      <alignment horizontal="center" wrapText="1"/>
    </xf>
    <xf numFmtId="0" fontId="13" fillId="8" borderId="3" xfId="0" applyFont="1" applyFill="1" applyBorder="1" applyAlignment="1" applyProtection="1">
      <alignment horizontal="center" wrapText="1"/>
    </xf>
    <xf numFmtId="0" fontId="13" fillId="8" borderId="4" xfId="0" applyFont="1" applyFill="1" applyBorder="1" applyAlignment="1" applyProtection="1">
      <alignment horizontal="center" wrapText="1"/>
    </xf>
    <xf numFmtId="43" fontId="2" fillId="3" borderId="1" xfId="0" applyNumberFormat="1" applyFont="1" applyFill="1" applyBorder="1" applyAlignment="1" applyProtection="1">
      <alignment horizontal="center" vertical="center"/>
      <protection locked="0"/>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43" fontId="2" fillId="3" borderId="1" xfId="0" applyNumberFormat="1" applyFont="1" applyFill="1" applyBorder="1" applyAlignment="1" applyProtection="1">
      <alignment horizontal="center" vertical="center" wrapText="1"/>
      <protection locked="0"/>
    </xf>
    <xf numFmtId="0" fontId="5" fillId="5" borderId="5" xfId="1" applyNumberFormat="1" applyFont="1" applyFill="1" applyBorder="1" applyAlignment="1" applyProtection="1">
      <alignment horizontal="center" vertical="center" wrapText="1"/>
    </xf>
    <xf numFmtId="0" fontId="5" fillId="5" borderId="7" xfId="1" applyNumberFormat="1" applyFont="1" applyFill="1" applyBorder="1" applyAlignment="1" applyProtection="1">
      <alignment horizontal="center" vertical="center" wrapText="1"/>
    </xf>
    <xf numFmtId="0" fontId="5" fillId="5" borderId="6" xfId="1" applyNumberFormat="1" applyFont="1" applyFill="1" applyBorder="1" applyAlignment="1" applyProtection="1">
      <alignment horizontal="center" vertical="center" wrapText="1"/>
    </xf>
    <xf numFmtId="0" fontId="5" fillId="4" borderId="5" xfId="1" applyNumberFormat="1" applyFont="1" applyFill="1" applyBorder="1" applyAlignment="1" applyProtection="1">
      <alignment horizontal="center" vertical="center" wrapText="1"/>
    </xf>
    <xf numFmtId="0" fontId="5" fillId="4" borderId="7" xfId="1" applyNumberFormat="1" applyFont="1" applyFill="1" applyBorder="1" applyAlignment="1" applyProtection="1">
      <alignment horizontal="center" vertical="center" wrapText="1"/>
    </xf>
    <xf numFmtId="0" fontId="5" fillId="4" borderId="6" xfId="1" applyNumberFormat="1" applyFont="1" applyFill="1" applyBorder="1" applyAlignment="1" applyProtection="1">
      <alignment horizontal="center" vertical="center" wrapText="1"/>
    </xf>
  </cellXfs>
  <cellStyles count="5">
    <cellStyle name="Accent4 2" xfId="2" xr:uid="{00000000-0005-0000-0000-000000000000}"/>
    <cellStyle name="Comma" xfId="1" builtinId="3"/>
    <cellStyle name="Currency" xfId="3" builtinId="4"/>
    <cellStyle name="Normal" xfId="0" builtinId="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355600</xdr:colOff>
          <xdr:row>6</xdr:row>
          <xdr:rowOff>107950</xdr:rowOff>
        </xdr:from>
        <xdr:to>
          <xdr:col>7</xdr:col>
          <xdr:colOff>1771650</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 Macro</a:t>
              </a:r>
            </a:p>
          </xdr:txBody>
        </xdr:sp>
        <xdr:clientData fPrintsWithSheet="0"/>
      </xdr:twoCellAnchor>
    </mc:Choice>
    <mc:Fallback/>
  </mc:AlternateContent>
  <xdr:twoCellAnchor>
    <xdr:from>
      <xdr:col>1</xdr:col>
      <xdr:colOff>952502</xdr:colOff>
      <xdr:row>14</xdr:row>
      <xdr:rowOff>85724</xdr:rowOff>
    </xdr:from>
    <xdr:to>
      <xdr:col>3</xdr:col>
      <xdr:colOff>28578</xdr:colOff>
      <xdr:row>15</xdr:row>
      <xdr:rowOff>152399</xdr:rowOff>
    </xdr:to>
    <xdr:sp macro="" textlink="">
      <xdr:nvSpPr>
        <xdr:cNvPr id="4" name="Left Brace 3">
          <a:extLst>
            <a:ext uri="{FF2B5EF4-FFF2-40B4-BE49-F238E27FC236}">
              <a16:creationId xmlns:a16="http://schemas.microsoft.com/office/drawing/2014/main" id="{00000000-0008-0000-0000-000004000000}"/>
            </a:ext>
          </a:extLst>
        </xdr:cNvPr>
        <xdr:cNvSpPr/>
      </xdr:nvSpPr>
      <xdr:spPr>
        <a:xfrm rot="16200000">
          <a:off x="1843090" y="3024186"/>
          <a:ext cx="257175" cy="819151"/>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390525</xdr:colOff>
      <xdr:row>5</xdr:row>
      <xdr:rowOff>400048</xdr:rowOff>
    </xdr:from>
    <xdr:to>
      <xdr:col>7</xdr:col>
      <xdr:colOff>133349</xdr:colOff>
      <xdr:row>6</xdr:row>
      <xdr:rowOff>123823</xdr:rowOff>
    </xdr:to>
    <xdr:sp macro="" textlink="">
      <xdr:nvSpPr>
        <xdr:cNvPr id="6" name="Arrow: Bent 5">
          <a:extLst>
            <a:ext uri="{FF2B5EF4-FFF2-40B4-BE49-F238E27FC236}">
              <a16:creationId xmlns:a16="http://schemas.microsoft.com/office/drawing/2014/main" id="{00000000-0008-0000-0000-000006000000}"/>
            </a:ext>
          </a:extLst>
        </xdr:cNvPr>
        <xdr:cNvSpPr/>
      </xdr:nvSpPr>
      <xdr:spPr>
        <a:xfrm rot="10800000" flipH="1">
          <a:off x="4962525" y="1352548"/>
          <a:ext cx="2266949" cy="295275"/>
        </a:xfrm>
        <a:prstGeom prst="ben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26"/>
  <sheetViews>
    <sheetView showGridLines="0" tabSelected="1" zoomScale="80" zoomScaleNormal="80" workbookViewId="0"/>
  </sheetViews>
  <sheetFormatPr defaultRowHeight="14.5" x14ac:dyDescent="0.35"/>
  <cols>
    <col min="2" max="2" width="15.7265625" customWidth="1"/>
    <col min="3" max="3" width="10.453125" customWidth="1"/>
    <col min="4" max="4" width="23" customWidth="1"/>
    <col min="5" max="5" width="10.26953125" customWidth="1"/>
    <col min="6" max="6" width="25.54296875" customWidth="1"/>
    <col min="7" max="7" width="12.26953125" customWidth="1"/>
    <col min="8" max="8" width="27.1796875" customWidth="1"/>
    <col min="9" max="9" width="11.453125" customWidth="1"/>
  </cols>
  <sheetData>
    <row r="2" spans="2:9" x14ac:dyDescent="0.35">
      <c r="B2" s="7" t="s">
        <v>39</v>
      </c>
    </row>
    <row r="3" spans="2:9" x14ac:dyDescent="0.35">
      <c r="B3" s="7" t="s">
        <v>48</v>
      </c>
    </row>
    <row r="4" spans="2:9" x14ac:dyDescent="0.35">
      <c r="B4" s="135" t="s">
        <v>116</v>
      </c>
    </row>
    <row r="6" spans="2:9" ht="49.5" customHeight="1" x14ac:dyDescent="0.35">
      <c r="B6" s="136" t="s">
        <v>66</v>
      </c>
      <c r="C6" s="136"/>
      <c r="D6" s="136"/>
      <c r="E6" s="136"/>
      <c r="F6" s="136"/>
      <c r="G6" s="136"/>
    </row>
    <row r="8" spans="2:9" x14ac:dyDescent="0.35">
      <c r="B8" s="7"/>
    </row>
    <row r="9" spans="2:9" x14ac:dyDescent="0.35">
      <c r="H9" s="8"/>
      <c r="I9" s="8"/>
    </row>
    <row r="10" spans="2:9" x14ac:dyDescent="0.35">
      <c r="B10" s="4" t="s">
        <v>40</v>
      </c>
      <c r="C10" s="3" t="s">
        <v>7</v>
      </c>
      <c r="D10" s="4" t="s">
        <v>41</v>
      </c>
      <c r="E10" s="4" t="s">
        <v>8</v>
      </c>
      <c r="F10" s="4" t="s">
        <v>42</v>
      </c>
      <c r="G10" s="4" t="s">
        <v>9</v>
      </c>
      <c r="H10" s="4" t="s">
        <v>43</v>
      </c>
      <c r="I10" s="4" t="s">
        <v>10</v>
      </c>
    </row>
    <row r="11" spans="2:9" x14ac:dyDescent="0.35">
      <c r="B11" s="5"/>
      <c r="C11" s="2"/>
      <c r="D11" s="6"/>
      <c r="E11" s="6"/>
      <c r="F11" s="6"/>
      <c r="G11" s="6"/>
      <c r="H11" s="6"/>
      <c r="I11" s="6"/>
    </row>
    <row r="12" spans="2:9" x14ac:dyDescent="0.35">
      <c r="B12" s="5"/>
      <c r="C12" s="1"/>
      <c r="D12" s="5"/>
      <c r="E12" s="5"/>
      <c r="F12" s="5"/>
      <c r="G12" s="5"/>
      <c r="H12" s="5"/>
      <c r="I12" s="5"/>
    </row>
    <row r="13" spans="2:9" x14ac:dyDescent="0.35">
      <c r="B13" s="5"/>
      <c r="C13" s="1"/>
      <c r="D13" s="5"/>
      <c r="E13" s="5"/>
      <c r="F13" s="5"/>
      <c r="G13" s="5"/>
      <c r="H13" s="5"/>
      <c r="I13" s="5"/>
    </row>
    <row r="14" spans="2:9" x14ac:dyDescent="0.35">
      <c r="B14" s="5"/>
      <c r="C14" s="2"/>
      <c r="D14" s="6"/>
      <c r="E14" s="6"/>
      <c r="F14" s="6"/>
      <c r="G14" s="6"/>
      <c r="H14" s="6"/>
      <c r="I14" s="6"/>
    </row>
    <row r="17" spans="2:3" x14ac:dyDescent="0.35">
      <c r="C17" t="s">
        <v>67</v>
      </c>
    </row>
    <row r="19" spans="2:3" ht="18.5" x14ac:dyDescent="0.45">
      <c r="B19" s="9" t="s">
        <v>68</v>
      </c>
    </row>
    <row r="20" spans="2:3" ht="18.5" x14ac:dyDescent="0.45">
      <c r="B20" s="10" t="s">
        <v>112</v>
      </c>
    </row>
    <row r="21" spans="2:3" ht="18.5" x14ac:dyDescent="0.45">
      <c r="B21" s="10" t="s">
        <v>88</v>
      </c>
    </row>
    <row r="22" spans="2:3" ht="18.5" x14ac:dyDescent="0.45">
      <c r="B22" s="10" t="s">
        <v>89</v>
      </c>
    </row>
    <row r="23" spans="2:3" ht="18.5" x14ac:dyDescent="0.45">
      <c r="B23" s="10" t="s">
        <v>91</v>
      </c>
    </row>
    <row r="24" spans="2:3" ht="18.5" x14ac:dyDescent="0.45">
      <c r="B24" s="10" t="s">
        <v>92</v>
      </c>
    </row>
    <row r="25" spans="2:3" ht="18.5" x14ac:dyDescent="0.45">
      <c r="B25" s="10" t="s">
        <v>90</v>
      </c>
    </row>
    <row r="26" spans="2:3" ht="18.5" x14ac:dyDescent="0.45">
      <c r="B26" s="10" t="s">
        <v>109</v>
      </c>
    </row>
  </sheetData>
  <sheetProtection sheet="1" objects="1" scenarios="1" formatCells="0"/>
  <mergeCells count="1">
    <mergeCell ref="B6:G6"/>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acro">
                <anchor moveWithCells="1" sizeWithCells="1">
                  <from>
                    <xdr:col>7</xdr:col>
                    <xdr:colOff>355600</xdr:colOff>
                    <xdr:row>6</xdr:row>
                    <xdr:rowOff>107950</xdr:rowOff>
                  </from>
                  <to>
                    <xdr:col>7</xdr:col>
                    <xdr:colOff>1771650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27"/>
  <sheetViews>
    <sheetView showGridLines="0" zoomScale="80" zoomScaleNormal="80" workbookViewId="0"/>
  </sheetViews>
  <sheetFormatPr defaultColWidth="9.1796875" defaultRowHeight="14.5" x14ac:dyDescent="0.35"/>
  <cols>
    <col min="1" max="1" width="9.1796875" style="11"/>
    <col min="2" max="2" width="26.81640625" style="11" bestFit="1" customWidth="1"/>
    <col min="3" max="3" width="53.54296875" style="11" customWidth="1"/>
    <col min="4" max="4" width="15" style="11" bestFit="1" customWidth="1"/>
    <col min="5" max="5" width="14.7265625" style="11" bestFit="1" customWidth="1"/>
    <col min="6" max="6" width="19.81640625" style="11" hidden="1" customWidth="1"/>
    <col min="7" max="7" width="9.7265625" style="11" hidden="1" customWidth="1"/>
    <col min="8" max="8" width="22" style="11" hidden="1" customWidth="1"/>
    <col min="9" max="9" width="9.7265625" style="11" hidden="1" customWidth="1"/>
    <col min="10" max="10" width="25" style="11" hidden="1" customWidth="1"/>
    <col min="11" max="11" width="9.7265625" style="11" hidden="1" customWidth="1"/>
    <col min="12" max="12" width="19.26953125" style="11" bestFit="1" customWidth="1"/>
    <col min="13" max="16384" width="9.1796875" style="11"/>
  </cols>
  <sheetData>
    <row r="1" spans="1:20" ht="15" thickBot="1" x14ac:dyDescent="0.4">
      <c r="A1" s="101"/>
      <c r="B1" s="101"/>
      <c r="C1" s="101"/>
      <c r="D1" s="101"/>
      <c r="E1" s="101"/>
      <c r="F1" s="101"/>
      <c r="G1" s="101"/>
    </row>
    <row r="2" spans="1:20" ht="15" thickBot="1" x14ac:dyDescent="0.4">
      <c r="A2" s="101"/>
      <c r="B2" s="137" t="s">
        <v>75</v>
      </c>
      <c r="C2" s="138"/>
      <c r="D2" s="138"/>
      <c r="E2" s="139"/>
      <c r="F2" s="114"/>
      <c r="G2" s="115"/>
    </row>
    <row r="3" spans="1:20" x14ac:dyDescent="0.35">
      <c r="A3" s="101"/>
      <c r="B3" s="101"/>
      <c r="C3" s="101"/>
      <c r="D3" s="101"/>
      <c r="E3" s="101"/>
      <c r="F3" s="101"/>
      <c r="G3" s="101"/>
    </row>
    <row r="4" spans="1:20" x14ac:dyDescent="0.35">
      <c r="A4" s="101"/>
      <c r="B4" s="22" t="s">
        <v>37</v>
      </c>
      <c r="C4" s="23" t="s">
        <v>2</v>
      </c>
      <c r="D4" s="24" t="s">
        <v>40</v>
      </c>
      <c r="E4" s="12" t="s">
        <v>7</v>
      </c>
      <c r="F4" s="94" t="s">
        <v>41</v>
      </c>
      <c r="G4" s="94" t="s">
        <v>8</v>
      </c>
      <c r="H4" s="94" t="s">
        <v>42</v>
      </c>
      <c r="I4" s="94" t="s">
        <v>9</v>
      </c>
      <c r="J4" s="94" t="s">
        <v>43</v>
      </c>
      <c r="K4" s="94" t="s">
        <v>10</v>
      </c>
      <c r="L4" s="13" t="s">
        <v>53</v>
      </c>
    </row>
    <row r="5" spans="1:20" ht="29" x14ac:dyDescent="0.35">
      <c r="A5" s="101"/>
      <c r="B5" s="25" t="s">
        <v>0</v>
      </c>
      <c r="C5" s="26" t="s">
        <v>3</v>
      </c>
      <c r="D5" s="27">
        <f>E5</f>
        <v>0</v>
      </c>
      <c r="E5" s="73"/>
      <c r="F5" s="95"/>
      <c r="G5" s="95"/>
      <c r="H5" s="95"/>
      <c r="I5" s="95"/>
      <c r="J5" s="95"/>
      <c r="K5" s="95"/>
      <c r="L5" s="128"/>
      <c r="M5" s="60"/>
    </row>
    <row r="6" spans="1:20" ht="43.5" x14ac:dyDescent="0.35">
      <c r="A6" s="101"/>
      <c r="B6" s="25" t="s">
        <v>71</v>
      </c>
      <c r="C6" s="26" t="s">
        <v>4</v>
      </c>
      <c r="D6" s="27">
        <f t="shared" ref="D6:D10" si="0">E6</f>
        <v>0</v>
      </c>
      <c r="E6" s="73"/>
      <c r="F6" s="96"/>
      <c r="G6" s="96"/>
      <c r="H6" s="96"/>
      <c r="I6" s="96"/>
      <c r="J6" s="96"/>
      <c r="K6" s="96"/>
      <c r="L6" s="128"/>
      <c r="M6" s="60"/>
      <c r="P6" s="49"/>
    </row>
    <row r="7" spans="1:20" ht="29" x14ac:dyDescent="0.35">
      <c r="A7" s="101"/>
      <c r="B7" s="25" t="s">
        <v>45</v>
      </c>
      <c r="C7" s="26" t="s">
        <v>46</v>
      </c>
      <c r="D7" s="27">
        <f t="shared" si="0"/>
        <v>0</v>
      </c>
      <c r="E7" s="73"/>
      <c r="F7" s="96"/>
      <c r="G7" s="96"/>
      <c r="H7" s="96"/>
      <c r="I7" s="96"/>
      <c r="J7" s="96"/>
      <c r="K7" s="96"/>
      <c r="L7" s="128"/>
      <c r="P7" s="126"/>
      <c r="T7" s="75"/>
    </row>
    <row r="8" spans="1:20" ht="29" x14ac:dyDescent="0.35">
      <c r="A8" s="101"/>
      <c r="B8" s="25" t="s">
        <v>1</v>
      </c>
      <c r="C8" s="26" t="s">
        <v>5</v>
      </c>
      <c r="D8" s="27">
        <f t="shared" si="0"/>
        <v>0</v>
      </c>
      <c r="E8" s="73"/>
      <c r="F8" s="96"/>
      <c r="G8" s="96"/>
      <c r="H8" s="96"/>
      <c r="I8" s="96"/>
      <c r="J8" s="96"/>
      <c r="K8" s="96"/>
      <c r="L8" s="128"/>
      <c r="M8" s="60"/>
      <c r="T8" s="74"/>
    </row>
    <row r="9" spans="1:20" x14ac:dyDescent="0.35">
      <c r="A9" s="101"/>
      <c r="B9" s="25" t="s">
        <v>73</v>
      </c>
      <c r="C9" s="26" t="s">
        <v>6</v>
      </c>
      <c r="D9" s="27">
        <f t="shared" si="0"/>
        <v>0</v>
      </c>
      <c r="E9" s="73"/>
      <c r="F9" s="96"/>
      <c r="G9" s="96"/>
      <c r="H9" s="96"/>
      <c r="I9" s="96"/>
      <c r="J9" s="96"/>
      <c r="K9" s="96"/>
      <c r="L9" s="128"/>
      <c r="M9" s="60"/>
    </row>
    <row r="10" spans="1:20" x14ac:dyDescent="0.35">
      <c r="A10" s="101"/>
      <c r="B10" s="25" t="s">
        <v>44</v>
      </c>
      <c r="C10" s="26" t="s">
        <v>54</v>
      </c>
      <c r="D10" s="27">
        <f t="shared" si="0"/>
        <v>0</v>
      </c>
      <c r="E10" s="73"/>
      <c r="F10" s="96"/>
      <c r="G10" s="96"/>
      <c r="H10" s="96"/>
      <c r="I10" s="96"/>
      <c r="J10" s="96"/>
      <c r="K10" s="96"/>
      <c r="L10" s="128"/>
    </row>
    <row r="11" spans="1:20" x14ac:dyDescent="0.35">
      <c r="B11" s="97"/>
      <c r="C11" s="97"/>
      <c r="D11" s="98"/>
      <c r="E11" s="61"/>
      <c r="F11" s="99"/>
      <c r="G11" s="99"/>
      <c r="H11" s="99"/>
      <c r="I11" s="99"/>
      <c r="J11" s="99"/>
      <c r="K11" s="99"/>
      <c r="L11" s="63"/>
    </row>
    <row r="12" spans="1:20" x14ac:dyDescent="0.35">
      <c r="B12" s="100" t="s">
        <v>74</v>
      </c>
      <c r="C12" s="97"/>
      <c r="D12" s="98"/>
      <c r="E12" s="61"/>
      <c r="F12" s="99"/>
      <c r="G12" s="99"/>
      <c r="H12" s="99"/>
      <c r="I12" s="99"/>
      <c r="J12" s="99"/>
      <c r="K12" s="99"/>
      <c r="L12" s="63"/>
    </row>
    <row r="13" spans="1:20" x14ac:dyDescent="0.35">
      <c r="B13" s="16" t="s">
        <v>65</v>
      </c>
      <c r="C13" s="17" t="s">
        <v>50</v>
      </c>
      <c r="D13" s="17" t="s">
        <v>52</v>
      </c>
      <c r="E13" s="17" t="s">
        <v>51</v>
      </c>
      <c r="F13" s="17" t="s">
        <v>57</v>
      </c>
    </row>
    <row r="14" spans="1:20" x14ac:dyDescent="0.35">
      <c r="B14" s="14" t="s">
        <v>0</v>
      </c>
      <c r="C14" s="18" t="s">
        <v>55</v>
      </c>
      <c r="D14" s="64">
        <v>24</v>
      </c>
      <c r="E14" s="65" t="s">
        <v>56</v>
      </c>
      <c r="F14" s="19"/>
    </row>
    <row r="15" spans="1:20" x14ac:dyDescent="0.35">
      <c r="B15" s="14" t="s">
        <v>71</v>
      </c>
      <c r="C15" s="18" t="s">
        <v>77</v>
      </c>
      <c r="D15" s="64">
        <v>43.56</v>
      </c>
      <c r="E15" s="66">
        <v>0.43559999999999999</v>
      </c>
      <c r="F15" s="19"/>
    </row>
    <row r="16" spans="1:20" x14ac:dyDescent="0.35">
      <c r="B16" s="14" t="s">
        <v>45</v>
      </c>
      <c r="C16" s="18" t="s">
        <v>55</v>
      </c>
      <c r="D16" s="64">
        <v>3</v>
      </c>
      <c r="E16" s="66" t="s">
        <v>59</v>
      </c>
      <c r="F16" s="20" t="s">
        <v>60</v>
      </c>
    </row>
    <row r="17" spans="2:6" x14ac:dyDescent="0.35">
      <c r="B17" s="14" t="s">
        <v>1</v>
      </c>
      <c r="C17" s="18" t="s">
        <v>77</v>
      </c>
      <c r="D17" s="64">
        <v>12.35</v>
      </c>
      <c r="E17" s="66" t="s">
        <v>76</v>
      </c>
      <c r="F17" s="20" t="s">
        <v>60</v>
      </c>
    </row>
    <row r="18" spans="2:6" x14ac:dyDescent="0.35">
      <c r="B18" s="14" t="s">
        <v>72</v>
      </c>
      <c r="C18" s="18" t="s">
        <v>77</v>
      </c>
      <c r="D18" s="64">
        <v>34.67</v>
      </c>
      <c r="E18" s="66">
        <v>0.34599999999999997</v>
      </c>
      <c r="F18" s="19"/>
    </row>
    <row r="19" spans="2:6" x14ac:dyDescent="0.35">
      <c r="B19" s="14" t="s">
        <v>44</v>
      </c>
      <c r="C19" s="18" t="s">
        <v>55</v>
      </c>
      <c r="D19" s="64">
        <v>11500</v>
      </c>
      <c r="E19" s="67" t="s">
        <v>58</v>
      </c>
      <c r="F19" s="20" t="s">
        <v>60</v>
      </c>
    </row>
    <row r="24" spans="2:6" x14ac:dyDescent="0.35">
      <c r="B24" s="21"/>
    </row>
    <row r="25" spans="2:6" x14ac:dyDescent="0.35">
      <c r="B25" s="21"/>
    </row>
    <row r="26" spans="2:6" x14ac:dyDescent="0.35">
      <c r="B26" s="21"/>
    </row>
    <row r="27" spans="2:6" x14ac:dyDescent="0.35">
      <c r="B27" s="21"/>
    </row>
  </sheetData>
  <sheetProtection sheet="1" objects="1" scenarios="1" formatCells="0"/>
  <mergeCells count="1">
    <mergeCell ref="B2:E2"/>
  </mergeCells>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32"/>
  <sheetViews>
    <sheetView showGridLines="0" zoomScale="80" zoomScaleNormal="80" workbookViewId="0"/>
  </sheetViews>
  <sheetFormatPr defaultColWidth="9.1796875" defaultRowHeight="14.5" x14ac:dyDescent="0.35"/>
  <cols>
    <col min="1" max="1" width="9.1796875" style="11"/>
    <col min="2" max="2" width="45.54296875" style="11" customWidth="1"/>
    <col min="3" max="3" width="57.1796875" style="11" customWidth="1"/>
    <col min="4" max="4" width="15.81640625" style="11" bestFit="1" customWidth="1"/>
    <col min="5" max="5" width="15.26953125" style="11" customWidth="1"/>
    <col min="6" max="6" width="25" style="77" bestFit="1" customWidth="1"/>
    <col min="7" max="7" width="20.453125" style="11" hidden="1" customWidth="1"/>
    <col min="8" max="8" width="10.81640625" style="11" hidden="1" customWidth="1"/>
    <col min="9" max="9" width="24.453125" style="11" hidden="1" customWidth="1"/>
    <col min="10" max="10" width="11" style="11" hidden="1" customWidth="1"/>
    <col min="11" max="11" width="29.1796875" style="11" hidden="1" customWidth="1"/>
    <col min="12" max="12" width="11" style="11" hidden="1" customWidth="1"/>
    <col min="13" max="13" width="19.26953125" style="81" bestFit="1" customWidth="1"/>
    <col min="14" max="16384" width="9.1796875" style="11"/>
  </cols>
  <sheetData>
    <row r="1" spans="1:15" ht="15" thickBot="1" x14ac:dyDescent="0.4">
      <c r="A1" s="101"/>
      <c r="B1" s="101"/>
      <c r="C1" s="101"/>
      <c r="D1" s="101"/>
      <c r="E1" s="101"/>
      <c r="F1" s="102"/>
      <c r="G1" s="101"/>
    </row>
    <row r="2" spans="1:15" ht="15" thickBot="1" x14ac:dyDescent="0.4">
      <c r="A2" s="101"/>
      <c r="B2" s="137" t="s">
        <v>75</v>
      </c>
      <c r="C2" s="138"/>
      <c r="D2" s="138"/>
      <c r="E2" s="138"/>
      <c r="F2" s="139"/>
      <c r="G2" s="115"/>
    </row>
    <row r="3" spans="1:15" x14ac:dyDescent="0.35">
      <c r="A3" s="101"/>
      <c r="B3" s="101"/>
      <c r="C3" s="101"/>
      <c r="D3" s="101"/>
      <c r="E3" s="101"/>
      <c r="F3" s="102"/>
      <c r="G3" s="101"/>
    </row>
    <row r="4" spans="1:15" x14ac:dyDescent="0.35">
      <c r="A4" s="101"/>
      <c r="B4" s="22" t="s">
        <v>37</v>
      </c>
      <c r="C4" s="23" t="s">
        <v>2</v>
      </c>
      <c r="D4" s="23" t="s">
        <v>19</v>
      </c>
      <c r="E4" s="28" t="s">
        <v>40</v>
      </c>
      <c r="F4" s="78" t="s">
        <v>7</v>
      </c>
      <c r="G4" s="28" t="s">
        <v>41</v>
      </c>
      <c r="H4" s="28" t="s">
        <v>8</v>
      </c>
      <c r="I4" s="28" t="s">
        <v>42</v>
      </c>
      <c r="J4" s="28" t="s">
        <v>9</v>
      </c>
      <c r="K4" s="28" t="s">
        <v>43</v>
      </c>
      <c r="L4" s="28" t="s">
        <v>10</v>
      </c>
      <c r="M4" s="13" t="s">
        <v>53</v>
      </c>
    </row>
    <row r="5" spans="1:15" ht="15.75" customHeight="1" x14ac:dyDescent="0.35">
      <c r="A5" s="101"/>
      <c r="B5" s="32" t="s">
        <v>11</v>
      </c>
      <c r="C5" s="33" t="s">
        <v>20</v>
      </c>
      <c r="D5" s="34" t="s">
        <v>12</v>
      </c>
      <c r="E5" s="35">
        <f>F5</f>
        <v>0</v>
      </c>
      <c r="F5" s="76"/>
      <c r="G5" s="29"/>
      <c r="H5" s="29"/>
      <c r="I5" s="29"/>
      <c r="J5" s="29"/>
      <c r="K5" s="29"/>
      <c r="L5" s="29"/>
      <c r="M5" s="128"/>
    </row>
    <row r="6" spans="1:15" ht="31" x14ac:dyDescent="0.35">
      <c r="A6" s="101"/>
      <c r="B6" s="32" t="s">
        <v>11</v>
      </c>
      <c r="C6" s="33" t="s">
        <v>20</v>
      </c>
      <c r="D6" s="34" t="s">
        <v>13</v>
      </c>
      <c r="E6" s="35">
        <f t="shared" ref="E6:E19" si="0">F6</f>
        <v>0</v>
      </c>
      <c r="F6" s="76"/>
      <c r="G6" s="30"/>
      <c r="H6" s="30"/>
      <c r="I6" s="30"/>
      <c r="J6" s="30"/>
      <c r="K6" s="30"/>
      <c r="L6" s="30"/>
      <c r="M6" s="128"/>
    </row>
    <row r="7" spans="1:15" ht="31" x14ac:dyDescent="0.35">
      <c r="A7" s="101"/>
      <c r="B7" s="32" t="s">
        <v>11</v>
      </c>
      <c r="C7" s="33" t="s">
        <v>20</v>
      </c>
      <c r="D7" s="34" t="s">
        <v>49</v>
      </c>
      <c r="E7" s="35">
        <f t="shared" si="0"/>
        <v>0</v>
      </c>
      <c r="F7" s="76"/>
      <c r="G7" s="30"/>
      <c r="H7" s="30"/>
      <c r="I7" s="30"/>
      <c r="J7" s="30"/>
      <c r="K7" s="30"/>
      <c r="L7" s="30"/>
      <c r="M7" s="128"/>
      <c r="O7" s="127"/>
    </row>
    <row r="8" spans="1:15" ht="31" x14ac:dyDescent="0.35">
      <c r="A8" s="101"/>
      <c r="B8" s="32" t="s">
        <v>11</v>
      </c>
      <c r="C8" s="33" t="s">
        <v>20</v>
      </c>
      <c r="D8" s="34" t="s">
        <v>14</v>
      </c>
      <c r="E8" s="35">
        <f t="shared" si="0"/>
        <v>0</v>
      </c>
      <c r="F8" s="76"/>
      <c r="G8" s="30"/>
      <c r="H8" s="30"/>
      <c r="I8" s="30"/>
      <c r="J8" s="30"/>
      <c r="K8" s="30"/>
      <c r="L8" s="30"/>
      <c r="M8" s="128"/>
    </row>
    <row r="9" spans="1:15" ht="31" x14ac:dyDescent="0.35">
      <c r="A9" s="101"/>
      <c r="B9" s="36" t="s">
        <v>15</v>
      </c>
      <c r="C9" s="37" t="s">
        <v>21</v>
      </c>
      <c r="D9" s="34" t="s">
        <v>12</v>
      </c>
      <c r="E9" s="35">
        <f t="shared" si="0"/>
        <v>0</v>
      </c>
      <c r="F9" s="125"/>
      <c r="G9" s="29"/>
      <c r="H9" s="29"/>
      <c r="I9" s="29"/>
      <c r="J9" s="29"/>
      <c r="K9" s="29"/>
      <c r="L9" s="29"/>
      <c r="M9" s="128"/>
    </row>
    <row r="10" spans="1:15" ht="15.75" customHeight="1" x14ac:dyDescent="0.35">
      <c r="A10" s="101"/>
      <c r="B10" s="32" t="s">
        <v>81</v>
      </c>
      <c r="C10" s="33" t="s">
        <v>22</v>
      </c>
      <c r="D10" s="34" t="s">
        <v>12</v>
      </c>
      <c r="E10" s="35">
        <f t="shared" si="0"/>
        <v>0</v>
      </c>
      <c r="F10" s="76"/>
      <c r="G10" s="30"/>
      <c r="H10" s="30"/>
      <c r="I10" s="30"/>
      <c r="J10" s="30"/>
      <c r="K10" s="30"/>
      <c r="L10" s="30"/>
      <c r="M10" s="128"/>
    </row>
    <row r="11" spans="1:15" ht="15.5" x14ac:dyDescent="0.35">
      <c r="A11" s="101"/>
      <c r="B11" s="36" t="s">
        <v>87</v>
      </c>
      <c r="C11" s="37" t="s">
        <v>23</v>
      </c>
      <c r="D11" s="34" t="s">
        <v>12</v>
      </c>
      <c r="E11" s="35">
        <f t="shared" si="0"/>
        <v>0</v>
      </c>
      <c r="F11" s="76"/>
      <c r="G11" s="30"/>
      <c r="H11" s="30"/>
      <c r="I11" s="30"/>
      <c r="J11" s="30"/>
      <c r="K11" s="30"/>
      <c r="L11" s="30"/>
      <c r="M11" s="128"/>
    </row>
    <row r="12" spans="1:15" ht="15.5" x14ac:dyDescent="0.35">
      <c r="A12" s="101"/>
      <c r="B12" s="36" t="s">
        <v>16</v>
      </c>
      <c r="C12" s="38" t="s">
        <v>29</v>
      </c>
      <c r="D12" s="34" t="s">
        <v>12</v>
      </c>
      <c r="E12" s="35">
        <f t="shared" si="0"/>
        <v>0</v>
      </c>
      <c r="F12" s="76"/>
      <c r="G12" s="30"/>
      <c r="H12" s="30"/>
      <c r="I12" s="30"/>
      <c r="J12" s="30"/>
      <c r="K12" s="30"/>
      <c r="L12" s="30"/>
      <c r="M12" s="128"/>
    </row>
    <row r="13" spans="1:15" ht="15.5" x14ac:dyDescent="0.35">
      <c r="A13" s="101"/>
      <c r="B13" s="36" t="s">
        <v>82</v>
      </c>
      <c r="C13" s="37" t="s">
        <v>24</v>
      </c>
      <c r="D13" s="34" t="s">
        <v>12</v>
      </c>
      <c r="E13" s="35">
        <f t="shared" si="0"/>
        <v>0</v>
      </c>
      <c r="F13" s="76"/>
      <c r="G13" s="29"/>
      <c r="H13" s="29"/>
      <c r="I13" s="29"/>
      <c r="J13" s="29"/>
      <c r="K13" s="29"/>
      <c r="L13" s="29"/>
      <c r="M13" s="128"/>
    </row>
    <row r="14" spans="1:15" ht="15.5" x14ac:dyDescent="0.35">
      <c r="A14" s="101"/>
      <c r="B14" s="36" t="s">
        <v>83</v>
      </c>
      <c r="C14" s="37" t="s">
        <v>25</v>
      </c>
      <c r="D14" s="34" t="s">
        <v>12</v>
      </c>
      <c r="E14" s="35">
        <f t="shared" si="0"/>
        <v>0</v>
      </c>
      <c r="F14" s="76"/>
      <c r="G14" s="30"/>
      <c r="H14" s="30"/>
      <c r="I14" s="30"/>
      <c r="J14" s="30"/>
      <c r="K14" s="30"/>
      <c r="L14" s="30"/>
      <c r="M14" s="128"/>
    </row>
    <row r="15" spans="1:15" ht="15.5" x14ac:dyDescent="0.35">
      <c r="A15" s="101"/>
      <c r="B15" s="36" t="s">
        <v>84</v>
      </c>
      <c r="C15" s="33" t="s">
        <v>26</v>
      </c>
      <c r="D15" s="34" t="s">
        <v>12</v>
      </c>
      <c r="E15" s="35">
        <f t="shared" si="0"/>
        <v>0</v>
      </c>
      <c r="F15" s="76"/>
      <c r="G15" s="30"/>
      <c r="H15" s="30"/>
      <c r="I15" s="30"/>
      <c r="J15" s="30"/>
      <c r="K15" s="30"/>
      <c r="L15" s="30"/>
      <c r="M15" s="128"/>
    </row>
    <row r="16" spans="1:15" ht="46.5" x14ac:dyDescent="0.35">
      <c r="A16" s="101"/>
      <c r="B16" s="32" t="s">
        <v>85</v>
      </c>
      <c r="C16" s="33" t="s">
        <v>27</v>
      </c>
      <c r="D16" s="34" t="s">
        <v>12</v>
      </c>
      <c r="E16" s="35">
        <f t="shared" si="0"/>
        <v>0</v>
      </c>
      <c r="F16" s="76"/>
      <c r="G16" s="30"/>
      <c r="H16" s="30"/>
      <c r="I16" s="30"/>
      <c r="J16" s="30"/>
      <c r="K16" s="30"/>
      <c r="L16" s="30"/>
      <c r="M16" s="128"/>
    </row>
    <row r="17" spans="1:13" ht="46.5" x14ac:dyDescent="0.35">
      <c r="A17" s="101"/>
      <c r="B17" s="32" t="s">
        <v>85</v>
      </c>
      <c r="C17" s="33" t="s">
        <v>27</v>
      </c>
      <c r="D17" s="34" t="s">
        <v>17</v>
      </c>
      <c r="E17" s="35">
        <f t="shared" si="0"/>
        <v>0</v>
      </c>
      <c r="F17" s="76"/>
      <c r="G17" s="29"/>
      <c r="H17" s="29"/>
      <c r="I17" s="29"/>
      <c r="J17" s="29"/>
      <c r="K17" s="29"/>
      <c r="L17" s="29"/>
      <c r="M17" s="128"/>
    </row>
    <row r="18" spans="1:13" ht="46.5" x14ac:dyDescent="0.35">
      <c r="A18" s="101"/>
      <c r="B18" s="32" t="s">
        <v>85</v>
      </c>
      <c r="C18" s="33" t="s">
        <v>27</v>
      </c>
      <c r="D18" s="34" t="s">
        <v>18</v>
      </c>
      <c r="E18" s="35">
        <f t="shared" si="0"/>
        <v>0</v>
      </c>
      <c r="F18" s="76"/>
      <c r="G18" s="30"/>
      <c r="H18" s="30"/>
      <c r="I18" s="30"/>
      <c r="J18" s="30"/>
      <c r="K18" s="30"/>
      <c r="L18" s="30"/>
      <c r="M18" s="128"/>
    </row>
    <row r="19" spans="1:13" ht="15.5" x14ac:dyDescent="0.35">
      <c r="A19" s="101"/>
      <c r="B19" s="36" t="s">
        <v>86</v>
      </c>
      <c r="C19" s="39" t="s">
        <v>28</v>
      </c>
      <c r="D19" s="34" t="s">
        <v>12</v>
      </c>
      <c r="E19" s="35">
        <f t="shared" si="0"/>
        <v>0</v>
      </c>
      <c r="F19" s="76"/>
      <c r="G19" s="30"/>
      <c r="H19" s="30"/>
      <c r="I19" s="30"/>
      <c r="J19" s="30"/>
      <c r="K19" s="30"/>
      <c r="L19" s="30"/>
      <c r="M19" s="128"/>
    </row>
    <row r="20" spans="1:13" ht="15.5" x14ac:dyDescent="0.35">
      <c r="B20" s="82"/>
      <c r="C20" s="83"/>
      <c r="D20" s="84"/>
      <c r="E20" s="85"/>
      <c r="F20" s="86"/>
      <c r="G20" s="62"/>
      <c r="H20" s="62"/>
      <c r="I20" s="62"/>
      <c r="J20" s="62"/>
      <c r="K20" s="62"/>
      <c r="L20" s="62"/>
      <c r="M20" s="63"/>
    </row>
    <row r="21" spans="1:13" x14ac:dyDescent="0.35">
      <c r="B21" s="89" t="s">
        <v>74</v>
      </c>
    </row>
    <row r="22" spans="1:13" x14ac:dyDescent="0.35">
      <c r="A22" s="81"/>
      <c r="B22" s="16" t="s">
        <v>65</v>
      </c>
      <c r="C22" s="17" t="s">
        <v>50</v>
      </c>
      <c r="D22" s="17" t="s">
        <v>52</v>
      </c>
      <c r="E22" s="17" t="s">
        <v>51</v>
      </c>
      <c r="F22" s="17" t="s">
        <v>57</v>
      </c>
    </row>
    <row r="23" spans="1:13" ht="15.5" x14ac:dyDescent="0.35">
      <c r="B23" s="87" t="s">
        <v>11</v>
      </c>
      <c r="C23" s="18" t="s">
        <v>77</v>
      </c>
      <c r="D23" s="64">
        <v>42.6</v>
      </c>
      <c r="E23" s="66">
        <v>0.42566999999999999</v>
      </c>
      <c r="F23" s="79"/>
    </row>
    <row r="24" spans="1:13" ht="15.5" x14ac:dyDescent="0.35">
      <c r="B24" s="87" t="s">
        <v>15</v>
      </c>
      <c r="C24" s="18" t="s">
        <v>77</v>
      </c>
      <c r="D24" s="64">
        <v>48.56</v>
      </c>
      <c r="E24" s="66">
        <v>0.48563200000000001</v>
      </c>
      <c r="F24" s="79"/>
    </row>
    <row r="25" spans="1:13" ht="15.5" x14ac:dyDescent="0.35">
      <c r="B25" s="87" t="s">
        <v>81</v>
      </c>
      <c r="C25" s="18" t="s">
        <v>77</v>
      </c>
      <c r="D25" s="64">
        <v>48.95</v>
      </c>
      <c r="E25" s="66">
        <v>0.48946699999999999</v>
      </c>
      <c r="F25" s="79"/>
    </row>
    <row r="26" spans="1:13" ht="15.5" x14ac:dyDescent="0.35">
      <c r="B26" s="87" t="s">
        <v>87</v>
      </c>
      <c r="C26" s="15" t="s">
        <v>55</v>
      </c>
      <c r="D26" s="64">
        <v>40</v>
      </c>
      <c r="E26" s="68">
        <v>40.119999999999997</v>
      </c>
      <c r="F26" s="79"/>
    </row>
    <row r="27" spans="1:13" ht="15.5" x14ac:dyDescent="0.35">
      <c r="B27" s="87" t="s">
        <v>16</v>
      </c>
      <c r="C27" s="15" t="s">
        <v>55</v>
      </c>
      <c r="D27" s="64">
        <v>100</v>
      </c>
      <c r="E27" s="68">
        <v>100.43</v>
      </c>
      <c r="F27" s="79"/>
    </row>
    <row r="28" spans="1:13" ht="15.5" x14ac:dyDescent="0.35">
      <c r="B28" s="87" t="s">
        <v>82</v>
      </c>
      <c r="C28" s="18" t="s">
        <v>77</v>
      </c>
      <c r="D28" s="64">
        <v>4.5599999999999996</v>
      </c>
      <c r="E28" s="66">
        <v>4.5599999999999998E-3</v>
      </c>
      <c r="F28" s="79" t="s">
        <v>80</v>
      </c>
    </row>
    <row r="29" spans="1:13" ht="15.5" x14ac:dyDescent="0.35">
      <c r="B29" s="87" t="s">
        <v>83</v>
      </c>
      <c r="C29" s="18" t="s">
        <v>77</v>
      </c>
      <c r="D29" s="64">
        <v>43.21</v>
      </c>
      <c r="E29" s="69">
        <v>43.21</v>
      </c>
      <c r="F29" s="79"/>
    </row>
    <row r="30" spans="1:13" ht="15.5" x14ac:dyDescent="0.35">
      <c r="B30" s="87" t="s">
        <v>84</v>
      </c>
      <c r="C30" s="31" t="s">
        <v>110</v>
      </c>
      <c r="D30" s="64" t="s">
        <v>111</v>
      </c>
      <c r="E30" s="68" t="s">
        <v>79</v>
      </c>
      <c r="F30" s="80" t="s">
        <v>103</v>
      </c>
    </row>
    <row r="31" spans="1:13" ht="31" x14ac:dyDescent="0.35">
      <c r="B31" s="88" t="s">
        <v>85</v>
      </c>
      <c r="C31" s="15" t="s">
        <v>77</v>
      </c>
      <c r="D31" s="64">
        <v>13.21</v>
      </c>
      <c r="E31" s="66">
        <v>0.13214000000000001</v>
      </c>
      <c r="F31" s="79"/>
    </row>
    <row r="32" spans="1:13" ht="15.5" x14ac:dyDescent="0.35">
      <c r="B32" s="87" t="s">
        <v>86</v>
      </c>
      <c r="C32" s="18" t="s">
        <v>77</v>
      </c>
      <c r="D32" s="64">
        <v>14.35</v>
      </c>
      <c r="E32" s="66">
        <v>0.14351</v>
      </c>
      <c r="F32" s="79"/>
    </row>
  </sheetData>
  <sheetProtection sheet="1" objects="1" scenarios="1" formatCells="0"/>
  <mergeCells count="1">
    <mergeCell ref="B2:F2"/>
  </mergeCells>
  <phoneticPr fontId="4" type="noConversion"/>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7"/>
  <sheetViews>
    <sheetView showGridLines="0" zoomScale="80" zoomScaleNormal="80" workbookViewId="0"/>
  </sheetViews>
  <sheetFormatPr defaultColWidth="9.1796875" defaultRowHeight="14.5" x14ac:dyDescent="0.35"/>
  <cols>
    <col min="1" max="1" width="9.1796875" style="42"/>
    <col min="2" max="2" width="25.1796875" style="42" bestFit="1" customWidth="1"/>
    <col min="3" max="3" width="28.54296875" style="42" bestFit="1" customWidth="1"/>
    <col min="4" max="4" width="12.453125" style="42" bestFit="1" customWidth="1"/>
    <col min="5" max="5" width="19.81640625" style="42" hidden="1" customWidth="1"/>
    <col min="6" max="6" width="10.453125" style="42" hidden="1" customWidth="1"/>
    <col min="7" max="7" width="22" style="42" hidden="1" customWidth="1"/>
    <col min="8" max="8" width="9.7265625" style="42" hidden="1" customWidth="1"/>
    <col min="9" max="9" width="25" style="42" hidden="1" customWidth="1"/>
    <col min="10" max="10" width="9.7265625" style="42" hidden="1" customWidth="1"/>
    <col min="11" max="11" width="19.26953125" style="42" bestFit="1" customWidth="1"/>
    <col min="12" max="16384" width="9.1796875" style="42"/>
  </cols>
  <sheetData>
    <row r="1" spans="1:11" ht="15" thickBot="1" x14ac:dyDescent="0.4">
      <c r="A1" s="103"/>
      <c r="B1" s="103"/>
      <c r="C1" s="103"/>
      <c r="D1" s="103"/>
      <c r="E1" s="103"/>
      <c r="F1" s="103"/>
      <c r="G1" s="103"/>
    </row>
    <row r="2" spans="1:11" ht="31" customHeight="1" thickBot="1" x14ac:dyDescent="0.4">
      <c r="A2" s="103"/>
      <c r="B2" s="140" t="s">
        <v>75</v>
      </c>
      <c r="C2" s="141"/>
      <c r="D2" s="142"/>
      <c r="E2" s="114"/>
      <c r="F2" s="114"/>
      <c r="G2" s="115"/>
    </row>
    <row r="3" spans="1:11" x14ac:dyDescent="0.35">
      <c r="A3" s="103"/>
      <c r="B3" s="103"/>
      <c r="C3" s="103"/>
      <c r="D3" s="103"/>
      <c r="E3" s="103"/>
      <c r="F3" s="103"/>
      <c r="G3" s="103"/>
    </row>
    <row r="4" spans="1:11" x14ac:dyDescent="0.35">
      <c r="A4" s="103"/>
      <c r="B4" s="40" t="s">
        <v>37</v>
      </c>
      <c r="C4" s="28" t="s">
        <v>40</v>
      </c>
      <c r="D4" s="43" t="s">
        <v>7</v>
      </c>
      <c r="E4" s="28" t="s">
        <v>41</v>
      </c>
      <c r="F4" s="28" t="s">
        <v>8</v>
      </c>
      <c r="G4" s="28" t="s">
        <v>42</v>
      </c>
      <c r="H4" s="28" t="s">
        <v>9</v>
      </c>
      <c r="I4" s="28" t="s">
        <v>43</v>
      </c>
      <c r="J4" s="28" t="s">
        <v>10</v>
      </c>
      <c r="K4" s="13" t="s">
        <v>53</v>
      </c>
    </row>
    <row r="5" spans="1:11" ht="15.5" x14ac:dyDescent="0.35">
      <c r="A5" s="103"/>
      <c r="B5" s="41" t="s">
        <v>30</v>
      </c>
      <c r="C5" s="35">
        <f>D5</f>
        <v>0</v>
      </c>
      <c r="D5" s="76"/>
      <c r="E5" s="29"/>
      <c r="F5" s="29"/>
      <c r="G5" s="29"/>
      <c r="H5" s="29"/>
      <c r="I5" s="29"/>
      <c r="J5" s="29"/>
      <c r="K5" s="129"/>
    </row>
    <row r="6" spans="1:11" ht="15.5" x14ac:dyDescent="0.35">
      <c r="A6" s="103"/>
      <c r="B6" s="41" t="s">
        <v>31</v>
      </c>
      <c r="C6" s="35">
        <f t="shared" ref="C6:C7" si="0">D6</f>
        <v>0</v>
      </c>
      <c r="D6" s="76"/>
      <c r="E6" s="30"/>
      <c r="F6" s="30"/>
      <c r="G6" s="30"/>
      <c r="H6" s="30"/>
      <c r="I6" s="30"/>
      <c r="J6" s="30"/>
      <c r="K6" s="129"/>
    </row>
    <row r="7" spans="1:11" ht="15.5" x14ac:dyDescent="0.35">
      <c r="A7" s="103"/>
      <c r="B7" s="41" t="s">
        <v>32</v>
      </c>
      <c r="C7" s="35">
        <f t="shared" si="0"/>
        <v>0</v>
      </c>
      <c r="D7" s="76"/>
      <c r="E7" s="30"/>
      <c r="F7" s="30"/>
      <c r="G7" s="30"/>
      <c r="H7" s="30"/>
      <c r="I7" s="30"/>
      <c r="J7" s="30"/>
      <c r="K7" s="129"/>
    </row>
    <row r="9" spans="1:11" x14ac:dyDescent="0.35">
      <c r="B9" s="89" t="s">
        <v>74</v>
      </c>
    </row>
    <row r="10" spans="1:11" x14ac:dyDescent="0.35">
      <c r="B10" s="16" t="s">
        <v>65</v>
      </c>
      <c r="C10" s="17" t="s">
        <v>50</v>
      </c>
      <c r="D10" s="17" t="s">
        <v>52</v>
      </c>
      <c r="E10" s="17" t="s">
        <v>51</v>
      </c>
      <c r="F10" s="17" t="s">
        <v>57</v>
      </c>
    </row>
    <row r="11" spans="1:11" ht="15.5" x14ac:dyDescent="0.35">
      <c r="B11" s="44" t="s">
        <v>30</v>
      </c>
      <c r="C11" s="18" t="s">
        <v>77</v>
      </c>
      <c r="D11" s="64">
        <v>24</v>
      </c>
      <c r="E11" s="70">
        <v>0.24</v>
      </c>
      <c r="F11" s="19"/>
    </row>
    <row r="12" spans="1:11" ht="15.5" x14ac:dyDescent="0.35">
      <c r="B12" s="44" t="s">
        <v>31</v>
      </c>
      <c r="C12" s="18" t="s">
        <v>77</v>
      </c>
      <c r="D12" s="64">
        <v>43.56</v>
      </c>
      <c r="E12" s="66">
        <v>0.43559999999999999</v>
      </c>
      <c r="F12" s="19"/>
    </row>
    <row r="13" spans="1:11" ht="15.5" x14ac:dyDescent="0.35">
      <c r="B13" s="44" t="s">
        <v>32</v>
      </c>
      <c r="C13" s="18" t="s">
        <v>77</v>
      </c>
      <c r="D13" s="64">
        <v>3</v>
      </c>
      <c r="E13" s="66">
        <v>0.03</v>
      </c>
      <c r="F13" s="20"/>
    </row>
    <row r="16" spans="1:11" x14ac:dyDescent="0.35">
      <c r="B16" s="21"/>
    </row>
    <row r="17" spans="2:2" x14ac:dyDescent="0.35">
      <c r="B17" s="21"/>
    </row>
  </sheetData>
  <sheetProtection sheet="1" objects="1" scenarios="1" formatCells="0"/>
  <mergeCells count="1">
    <mergeCell ref="B2:D2"/>
  </mergeCells>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6"/>
  <sheetViews>
    <sheetView showGridLines="0" zoomScale="80" zoomScaleNormal="80" workbookViewId="0"/>
  </sheetViews>
  <sheetFormatPr defaultColWidth="9.1796875" defaultRowHeight="14.5" x14ac:dyDescent="0.35"/>
  <cols>
    <col min="1" max="1" width="9.1796875" style="11"/>
    <col min="2" max="2" width="24.453125" style="11" bestFit="1" customWidth="1"/>
    <col min="3" max="3" width="36.81640625" style="11" bestFit="1" customWidth="1"/>
    <col min="4" max="4" width="12.453125" style="11" bestFit="1" customWidth="1"/>
    <col min="5" max="5" width="18.54296875" style="11" hidden="1" customWidth="1"/>
    <col min="6" max="6" width="10.453125" style="11" hidden="1" customWidth="1"/>
    <col min="7" max="7" width="21.453125" style="11" hidden="1" customWidth="1"/>
    <col min="8" max="8" width="9.453125" style="11" hidden="1" customWidth="1"/>
    <col min="9" max="9" width="24.26953125" style="11" hidden="1" customWidth="1"/>
    <col min="10" max="10" width="9.453125" style="11" hidden="1" customWidth="1"/>
    <col min="11" max="11" width="19.26953125" style="11" bestFit="1" customWidth="1"/>
    <col min="12" max="16384" width="9.1796875" style="11"/>
  </cols>
  <sheetData>
    <row r="1" spans="1:13" ht="15" thickBot="1" x14ac:dyDescent="0.4">
      <c r="A1" s="101"/>
      <c r="B1" s="101"/>
      <c r="C1" s="101"/>
      <c r="D1" s="101"/>
      <c r="E1" s="101"/>
      <c r="F1" s="101"/>
      <c r="G1" s="101"/>
    </row>
    <row r="2" spans="1:13" ht="28.5" customHeight="1" thickBot="1" x14ac:dyDescent="0.4">
      <c r="A2" s="101"/>
      <c r="B2" s="140" t="s">
        <v>75</v>
      </c>
      <c r="C2" s="141"/>
      <c r="D2" s="142"/>
      <c r="E2" s="114"/>
      <c r="F2" s="114"/>
      <c r="G2" s="115"/>
    </row>
    <row r="3" spans="1:13" x14ac:dyDescent="0.35">
      <c r="A3" s="101"/>
      <c r="B3" s="101"/>
      <c r="C3" s="101"/>
      <c r="D3" s="101"/>
      <c r="E3" s="101"/>
      <c r="F3" s="101"/>
      <c r="G3" s="101"/>
    </row>
    <row r="4" spans="1:13" ht="29" x14ac:dyDescent="0.35">
      <c r="A4" s="101"/>
      <c r="B4" s="50" t="s">
        <v>37</v>
      </c>
      <c r="C4" s="28" t="s">
        <v>40</v>
      </c>
      <c r="D4" s="43" t="s">
        <v>7</v>
      </c>
      <c r="E4" s="28" t="s">
        <v>41</v>
      </c>
      <c r="F4" s="28" t="s">
        <v>8</v>
      </c>
      <c r="G4" s="28" t="s">
        <v>42</v>
      </c>
      <c r="H4" s="28" t="s">
        <v>9</v>
      </c>
      <c r="I4" s="28" t="s">
        <v>43</v>
      </c>
      <c r="J4" s="28" t="s">
        <v>10</v>
      </c>
      <c r="K4" s="13" t="s">
        <v>53</v>
      </c>
    </row>
    <row r="5" spans="1:13" x14ac:dyDescent="0.35">
      <c r="A5" s="101"/>
      <c r="B5" s="51" t="s">
        <v>33</v>
      </c>
      <c r="C5" s="35">
        <f>D5</f>
        <v>0</v>
      </c>
      <c r="D5" s="90"/>
      <c r="E5" s="29"/>
      <c r="F5" s="29"/>
      <c r="G5" s="29"/>
      <c r="H5" s="29"/>
      <c r="I5" s="29"/>
      <c r="J5" s="29"/>
      <c r="K5" s="130"/>
      <c r="L5" s="60"/>
      <c r="M5" s="60"/>
    </row>
    <row r="6" spans="1:13" x14ac:dyDescent="0.35">
      <c r="A6" s="101"/>
      <c r="B6" s="51" t="s">
        <v>34</v>
      </c>
      <c r="C6" s="35">
        <f t="shared" ref="C6:C7" si="0">D6</f>
        <v>0</v>
      </c>
      <c r="D6" s="91"/>
      <c r="E6" s="30"/>
      <c r="F6" s="30"/>
      <c r="G6" s="30"/>
      <c r="H6" s="30"/>
      <c r="I6" s="30"/>
      <c r="J6" s="30"/>
      <c r="K6" s="130"/>
    </row>
    <row r="7" spans="1:13" x14ac:dyDescent="0.35">
      <c r="A7" s="101"/>
      <c r="B7" s="51" t="s">
        <v>35</v>
      </c>
      <c r="C7" s="35">
        <f t="shared" si="0"/>
        <v>0</v>
      </c>
      <c r="D7" s="90"/>
      <c r="E7" s="30"/>
      <c r="F7" s="30"/>
      <c r="G7" s="30"/>
      <c r="H7" s="30"/>
      <c r="I7" s="30"/>
      <c r="J7" s="30"/>
      <c r="K7" s="130"/>
    </row>
    <row r="8" spans="1:13" x14ac:dyDescent="0.35">
      <c r="C8" s="45"/>
    </row>
    <row r="9" spans="1:13" x14ac:dyDescent="0.35">
      <c r="B9" s="89" t="s">
        <v>74</v>
      </c>
      <c r="C9" s="45"/>
    </row>
    <row r="10" spans="1:13" x14ac:dyDescent="0.35">
      <c r="B10" s="16" t="s">
        <v>65</v>
      </c>
      <c r="C10" s="16" t="s">
        <v>50</v>
      </c>
      <c r="D10" s="16" t="s">
        <v>52</v>
      </c>
      <c r="E10" s="16" t="s">
        <v>51</v>
      </c>
      <c r="F10" s="17" t="s">
        <v>57</v>
      </c>
    </row>
    <row r="11" spans="1:13" x14ac:dyDescent="0.35">
      <c r="B11" s="46" t="s">
        <v>33</v>
      </c>
      <c r="C11" s="18" t="s">
        <v>77</v>
      </c>
      <c r="D11" s="72">
        <v>40.200000000000003</v>
      </c>
      <c r="E11" s="71">
        <v>0.40200000000000002</v>
      </c>
      <c r="F11" s="19"/>
    </row>
    <row r="12" spans="1:13" x14ac:dyDescent="0.35">
      <c r="B12" s="46" t="s">
        <v>34</v>
      </c>
      <c r="C12" s="31" t="s">
        <v>78</v>
      </c>
      <c r="D12" s="72" t="s">
        <v>69</v>
      </c>
      <c r="E12" s="71" t="s">
        <v>70</v>
      </c>
      <c r="F12" s="47" t="s">
        <v>47</v>
      </c>
    </row>
    <row r="13" spans="1:13" x14ac:dyDescent="0.35">
      <c r="B13" s="46" t="s">
        <v>35</v>
      </c>
      <c r="C13" s="18" t="s">
        <v>77</v>
      </c>
      <c r="D13" s="72">
        <v>45.6</v>
      </c>
      <c r="E13" s="71">
        <v>0.45600000000000002</v>
      </c>
      <c r="F13" s="47" t="s">
        <v>61</v>
      </c>
    </row>
    <row r="19" spans="4:6" x14ac:dyDescent="0.35">
      <c r="D19" s="48"/>
      <c r="F19" s="48"/>
    </row>
    <row r="26" spans="4:6" x14ac:dyDescent="0.35">
      <c r="E26" s="49"/>
    </row>
  </sheetData>
  <sheetProtection sheet="1" objects="1" scenarios="1" formatCells="0"/>
  <mergeCells count="1">
    <mergeCell ref="B2:D2"/>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R11"/>
  <sheetViews>
    <sheetView showGridLines="0" zoomScale="80" zoomScaleNormal="80" workbookViewId="0"/>
  </sheetViews>
  <sheetFormatPr defaultColWidth="9.1796875" defaultRowHeight="14.5" x14ac:dyDescent="0.35"/>
  <cols>
    <col min="1" max="1" width="9.1796875" style="11"/>
    <col min="2" max="2" width="8.1796875" style="11" customWidth="1"/>
    <col min="3" max="3" width="28.54296875" style="11" bestFit="1" customWidth="1"/>
    <col min="4" max="4" width="12.453125" style="11" bestFit="1" customWidth="1"/>
    <col min="5" max="5" width="18.54296875" style="11" bestFit="1" customWidth="1"/>
    <col min="6" max="8" width="18.54296875" style="11" customWidth="1"/>
    <col min="9" max="9" width="20" style="11" hidden="1" customWidth="1"/>
    <col min="10" max="10" width="12.7265625" style="11" hidden="1" customWidth="1"/>
    <col min="11" max="11" width="25.54296875" style="11" hidden="1" customWidth="1"/>
    <col min="12" max="12" width="10.81640625" style="11" hidden="1" customWidth="1"/>
    <col min="13" max="13" width="30.453125" style="11" hidden="1" customWidth="1"/>
    <col min="14" max="14" width="12.7265625" style="11" hidden="1" customWidth="1"/>
    <col min="15" max="18" width="19.26953125" style="11" bestFit="1" customWidth="1"/>
    <col min="19" max="16384" width="9.1796875" style="11"/>
  </cols>
  <sheetData>
    <row r="1" spans="1:18" ht="15" thickBot="1" x14ac:dyDescent="0.4">
      <c r="A1" s="101"/>
      <c r="B1" s="101"/>
      <c r="C1" s="101"/>
      <c r="D1" s="101"/>
      <c r="E1" s="101"/>
      <c r="F1" s="101"/>
      <c r="G1" s="101"/>
    </row>
    <row r="2" spans="1:18" ht="15" thickBot="1" x14ac:dyDescent="0.4">
      <c r="A2" s="101"/>
      <c r="B2" s="137" t="s">
        <v>75</v>
      </c>
      <c r="C2" s="138"/>
      <c r="D2" s="138"/>
      <c r="E2" s="138"/>
      <c r="F2" s="138"/>
      <c r="G2" s="139"/>
    </row>
    <row r="3" spans="1:18" x14ac:dyDescent="0.35">
      <c r="A3" s="101"/>
      <c r="B3" s="101"/>
      <c r="C3" s="101"/>
      <c r="D3" s="101"/>
      <c r="E3" s="101"/>
      <c r="F3" s="101"/>
      <c r="G3" s="101"/>
    </row>
    <row r="4" spans="1:18" ht="29" x14ac:dyDescent="0.35">
      <c r="A4" s="101"/>
      <c r="B4" s="55" t="s">
        <v>37</v>
      </c>
      <c r="C4" s="55" t="s">
        <v>36</v>
      </c>
      <c r="D4" s="28" t="s">
        <v>40</v>
      </c>
      <c r="E4" s="43" t="s">
        <v>7</v>
      </c>
      <c r="F4" s="43" t="s">
        <v>62</v>
      </c>
      <c r="G4" s="43" t="s">
        <v>63</v>
      </c>
      <c r="H4" s="43" t="s">
        <v>64</v>
      </c>
      <c r="I4" s="28" t="s">
        <v>41</v>
      </c>
      <c r="J4" s="28" t="s">
        <v>8</v>
      </c>
      <c r="K4" s="28" t="s">
        <v>42</v>
      </c>
      <c r="L4" s="28" t="s">
        <v>9</v>
      </c>
      <c r="M4" s="28" t="s">
        <v>43</v>
      </c>
      <c r="N4" s="28" t="s">
        <v>10</v>
      </c>
      <c r="O4" s="143" t="s">
        <v>53</v>
      </c>
      <c r="P4" s="143"/>
      <c r="Q4" s="143"/>
      <c r="R4" s="143"/>
    </row>
    <row r="5" spans="1:18" ht="15.5" x14ac:dyDescent="0.35">
      <c r="A5" s="101"/>
      <c r="B5" s="56" t="s">
        <v>38</v>
      </c>
      <c r="C5" s="133" t="s">
        <v>115</v>
      </c>
      <c r="D5" s="35">
        <f>E5</f>
        <v>0</v>
      </c>
      <c r="E5" s="92"/>
      <c r="F5" s="92"/>
      <c r="G5" s="92"/>
      <c r="H5" s="92"/>
      <c r="I5" s="29"/>
      <c r="J5" s="29"/>
      <c r="K5" s="29"/>
      <c r="L5" s="29"/>
      <c r="M5" s="29"/>
      <c r="N5" s="29"/>
      <c r="O5" s="130"/>
      <c r="P5" s="130"/>
      <c r="Q5" s="130"/>
      <c r="R5" s="130"/>
    </row>
    <row r="6" spans="1:18" ht="15.5" x14ac:dyDescent="0.35">
      <c r="A6" s="101"/>
      <c r="B6" s="58" t="s">
        <v>38</v>
      </c>
      <c r="C6" s="57" t="s">
        <v>113</v>
      </c>
      <c r="D6" s="35">
        <f t="shared" ref="D6:D7" si="0">E6</f>
        <v>0</v>
      </c>
      <c r="E6" s="92"/>
      <c r="F6" s="92"/>
      <c r="G6" s="92"/>
      <c r="H6" s="92"/>
      <c r="I6" s="30"/>
      <c r="J6" s="30"/>
      <c r="K6" s="30"/>
      <c r="L6" s="30"/>
      <c r="M6" s="30"/>
      <c r="N6" s="30"/>
      <c r="O6" s="130"/>
      <c r="P6" s="130"/>
      <c r="Q6" s="130"/>
      <c r="R6" s="130"/>
    </row>
    <row r="7" spans="1:18" ht="15.5" x14ac:dyDescent="0.35">
      <c r="A7" s="101"/>
      <c r="B7" s="58" t="s">
        <v>38</v>
      </c>
      <c r="C7" s="57" t="s">
        <v>114</v>
      </c>
      <c r="D7" s="35">
        <f t="shared" si="0"/>
        <v>0</v>
      </c>
      <c r="E7" s="93"/>
      <c r="F7" s="93"/>
      <c r="G7" s="93"/>
      <c r="H7" s="93"/>
      <c r="I7" s="59"/>
      <c r="J7" s="59"/>
      <c r="K7" s="59"/>
      <c r="L7" s="59"/>
      <c r="M7" s="59"/>
      <c r="N7" s="59"/>
      <c r="O7" s="130"/>
      <c r="P7" s="130"/>
      <c r="Q7" s="130"/>
      <c r="R7" s="130"/>
    </row>
    <row r="8" spans="1:18" s="121" customFormat="1" ht="15.5" x14ac:dyDescent="0.35">
      <c r="A8" s="101"/>
      <c r="B8" s="117"/>
      <c r="C8" s="118"/>
      <c r="D8" s="85"/>
      <c r="E8" s="119"/>
      <c r="F8" s="119"/>
      <c r="G8" s="119"/>
      <c r="H8" s="119"/>
      <c r="I8" s="120"/>
      <c r="J8" s="120"/>
      <c r="K8" s="120"/>
      <c r="L8" s="120"/>
      <c r="M8" s="120"/>
      <c r="N8" s="120"/>
      <c r="O8" s="134"/>
      <c r="P8" s="134"/>
      <c r="Q8" s="134"/>
      <c r="R8" s="134"/>
    </row>
    <row r="9" spans="1:18" x14ac:dyDescent="0.35">
      <c r="B9" s="122" t="s">
        <v>74</v>
      </c>
    </row>
    <row r="10" spans="1:18" x14ac:dyDescent="0.35">
      <c r="B10" s="16" t="s">
        <v>65</v>
      </c>
      <c r="C10" s="16" t="s">
        <v>50</v>
      </c>
      <c r="D10" s="16" t="s">
        <v>52</v>
      </c>
      <c r="E10" s="16" t="s">
        <v>51</v>
      </c>
      <c r="F10" s="53"/>
      <c r="G10" s="53"/>
    </row>
    <row r="11" spans="1:18" x14ac:dyDescent="0.35">
      <c r="B11" s="52" t="s">
        <v>38</v>
      </c>
      <c r="C11" s="18" t="s">
        <v>77</v>
      </c>
      <c r="D11" s="72">
        <v>2.46</v>
      </c>
      <c r="E11" s="71">
        <v>2.46E-2</v>
      </c>
      <c r="F11" s="54"/>
      <c r="G11" s="54"/>
    </row>
  </sheetData>
  <sheetProtection sheet="1" objects="1" scenarios="1" formatCells="0"/>
  <mergeCells count="2">
    <mergeCell ref="O4:R4"/>
    <mergeCell ref="B2:G2"/>
  </mergeCells>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4494-CA57-48DF-A47F-66BCFE2E9A65}">
  <sheetPr codeName="Sheet7"/>
  <dimension ref="B1:T10"/>
  <sheetViews>
    <sheetView showGridLines="0" zoomScale="80" zoomScaleNormal="80" workbookViewId="0"/>
  </sheetViews>
  <sheetFormatPr defaultRowHeight="14.5" x14ac:dyDescent="0.35"/>
  <cols>
    <col min="2" max="3" width="26.54296875" customWidth="1"/>
    <col min="4" max="4" width="40.26953125" customWidth="1"/>
    <col min="5" max="5" width="14" bestFit="1" customWidth="1"/>
    <col min="6" max="6" width="18.54296875" bestFit="1" customWidth="1"/>
    <col min="7" max="9" width="18.54296875" customWidth="1"/>
    <col min="10" max="10" width="20" hidden="1" customWidth="1"/>
    <col min="11" max="11" width="12.7265625" hidden="1" customWidth="1"/>
    <col min="12" max="12" width="25.54296875" hidden="1" customWidth="1"/>
    <col min="13" max="13" width="10.81640625" hidden="1" customWidth="1"/>
    <col min="14" max="14" width="30.453125" hidden="1" customWidth="1"/>
    <col min="15" max="15" width="12.7265625" hidden="1" customWidth="1"/>
    <col min="16" max="19" width="19.26953125" bestFit="1" customWidth="1"/>
  </cols>
  <sheetData>
    <row r="1" spans="2:20" ht="15" thickBot="1" x14ac:dyDescent="0.4">
      <c r="T1" s="11"/>
    </row>
    <row r="2" spans="2:20" ht="15" thickBot="1" x14ac:dyDescent="0.4">
      <c r="B2" s="137" t="s">
        <v>75</v>
      </c>
      <c r="C2" s="138"/>
      <c r="D2" s="138"/>
      <c r="E2" s="138"/>
      <c r="F2" s="138"/>
      <c r="G2" s="139"/>
    </row>
    <row r="4" spans="2:20" ht="29" x14ac:dyDescent="0.35">
      <c r="B4" s="104" t="s">
        <v>37</v>
      </c>
      <c r="C4" s="104" t="s">
        <v>2</v>
      </c>
      <c r="D4" s="104" t="s">
        <v>93</v>
      </c>
      <c r="E4" s="105" t="s">
        <v>40</v>
      </c>
      <c r="F4" s="12" t="s">
        <v>7</v>
      </c>
      <c r="G4" s="12" t="s">
        <v>62</v>
      </c>
      <c r="H4" s="12" t="s">
        <v>63</v>
      </c>
      <c r="I4" s="12" t="s">
        <v>64</v>
      </c>
      <c r="J4" s="105" t="s">
        <v>41</v>
      </c>
      <c r="K4" s="105" t="s">
        <v>8</v>
      </c>
      <c r="L4" s="105" t="s">
        <v>42</v>
      </c>
      <c r="M4" s="105" t="s">
        <v>9</v>
      </c>
      <c r="N4" s="105" t="s">
        <v>43</v>
      </c>
      <c r="O4" s="105" t="s">
        <v>10</v>
      </c>
      <c r="P4" s="143" t="s">
        <v>53</v>
      </c>
      <c r="Q4" s="143"/>
      <c r="R4" s="143"/>
      <c r="S4" s="143"/>
    </row>
    <row r="5" spans="2:20" ht="31" x14ac:dyDescent="0.35">
      <c r="B5" s="106" t="s">
        <v>106</v>
      </c>
      <c r="C5" s="144" t="s">
        <v>107</v>
      </c>
      <c r="D5" s="106" t="s">
        <v>94</v>
      </c>
      <c r="E5" s="107">
        <f>F5</f>
        <v>0</v>
      </c>
      <c r="F5" s="76"/>
      <c r="G5" s="76"/>
      <c r="H5" s="76"/>
      <c r="I5" s="76"/>
      <c r="J5" s="108"/>
      <c r="K5" s="108"/>
      <c r="L5" s="108"/>
      <c r="M5" s="108"/>
      <c r="N5" s="108"/>
      <c r="O5" s="108"/>
      <c r="P5" s="130"/>
      <c r="Q5" s="130"/>
      <c r="R5" s="130"/>
      <c r="S5" s="130"/>
    </row>
    <row r="6" spans="2:20" ht="31" x14ac:dyDescent="0.35">
      <c r="B6" s="106" t="s">
        <v>106</v>
      </c>
      <c r="C6" s="145"/>
      <c r="D6" s="106" t="s">
        <v>95</v>
      </c>
      <c r="E6" s="107">
        <f t="shared" ref="E6" si="0">F6</f>
        <v>0</v>
      </c>
      <c r="F6" s="76"/>
      <c r="G6" s="76"/>
      <c r="H6" s="76"/>
      <c r="I6" s="76"/>
      <c r="J6" s="109"/>
      <c r="K6" s="109"/>
      <c r="L6" s="109"/>
      <c r="M6" s="109"/>
      <c r="N6" s="109"/>
      <c r="O6" s="109"/>
      <c r="P6" s="130"/>
      <c r="Q6" s="130"/>
      <c r="R6" s="130"/>
      <c r="S6" s="130"/>
    </row>
    <row r="8" spans="2:20" x14ac:dyDescent="0.35">
      <c r="B8" s="122" t="s">
        <v>74</v>
      </c>
    </row>
    <row r="9" spans="2:20" x14ac:dyDescent="0.35">
      <c r="B9" s="16" t="s">
        <v>65</v>
      </c>
      <c r="C9" s="16" t="s">
        <v>50</v>
      </c>
      <c r="D9" s="16" t="s">
        <v>52</v>
      </c>
      <c r="E9" s="16" t="s">
        <v>51</v>
      </c>
    </row>
    <row r="10" spans="2:20" ht="31" x14ac:dyDescent="0.35">
      <c r="B10" s="106" t="s">
        <v>106</v>
      </c>
      <c r="C10" s="15" t="s">
        <v>77</v>
      </c>
      <c r="D10" s="123">
        <v>40</v>
      </c>
      <c r="E10" s="124">
        <v>0.4</v>
      </c>
    </row>
  </sheetData>
  <sheetProtection sheet="1" objects="1" scenarios="1" formatCells="0"/>
  <mergeCells count="3">
    <mergeCell ref="P4:S4"/>
    <mergeCell ref="C5:C6"/>
    <mergeCell ref="B2:G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43D6C-1481-483F-B50F-D309C3CC5F13}">
  <sheetPr codeName="Sheet8"/>
  <dimension ref="B1:T10"/>
  <sheetViews>
    <sheetView showGridLines="0" zoomScale="80" zoomScaleNormal="80" workbookViewId="0"/>
  </sheetViews>
  <sheetFormatPr defaultRowHeight="14.5" x14ac:dyDescent="0.35"/>
  <cols>
    <col min="2" max="2" width="18.1796875" customWidth="1"/>
    <col min="3" max="3" width="38.453125" customWidth="1"/>
    <col min="4" max="4" width="34.81640625" customWidth="1"/>
    <col min="5" max="5" width="14" bestFit="1" customWidth="1"/>
    <col min="6" max="6" width="18.54296875" bestFit="1" customWidth="1"/>
    <col min="7" max="9" width="18.54296875" customWidth="1"/>
    <col min="10" max="10" width="20" hidden="1" customWidth="1"/>
    <col min="11" max="11" width="12.7265625" hidden="1" customWidth="1"/>
    <col min="12" max="12" width="25.54296875" hidden="1" customWidth="1"/>
    <col min="13" max="13" width="10.81640625" hidden="1" customWidth="1"/>
    <col min="14" max="14" width="30.453125" hidden="1" customWidth="1"/>
    <col min="15" max="15" width="12.7265625" hidden="1" customWidth="1"/>
    <col min="16" max="19" width="19.26953125" bestFit="1" customWidth="1"/>
  </cols>
  <sheetData>
    <row r="1" spans="2:20" ht="15" thickBot="1" x14ac:dyDescent="0.4">
      <c r="T1" s="11"/>
    </row>
    <row r="2" spans="2:20" ht="15" thickBot="1" x14ac:dyDescent="0.4">
      <c r="B2" s="137" t="s">
        <v>75</v>
      </c>
      <c r="C2" s="138"/>
      <c r="D2" s="138"/>
      <c r="E2" s="138"/>
      <c r="F2" s="138"/>
      <c r="G2" s="139"/>
    </row>
    <row r="4" spans="2:20" ht="29" x14ac:dyDescent="0.35">
      <c r="B4" s="104" t="s">
        <v>37</v>
      </c>
      <c r="C4" s="104" t="s">
        <v>2</v>
      </c>
      <c r="D4" s="104" t="s">
        <v>93</v>
      </c>
      <c r="E4" s="105" t="s">
        <v>40</v>
      </c>
      <c r="F4" s="12" t="s">
        <v>7</v>
      </c>
      <c r="G4" s="12" t="s">
        <v>62</v>
      </c>
      <c r="H4" s="12" t="s">
        <v>63</v>
      </c>
      <c r="I4" s="12" t="s">
        <v>64</v>
      </c>
      <c r="J4" s="105" t="s">
        <v>41</v>
      </c>
      <c r="K4" s="105" t="s">
        <v>8</v>
      </c>
      <c r="L4" s="105" t="s">
        <v>42</v>
      </c>
      <c r="M4" s="105" t="s">
        <v>9</v>
      </c>
      <c r="N4" s="105" t="s">
        <v>43</v>
      </c>
      <c r="O4" s="105" t="s">
        <v>10</v>
      </c>
      <c r="P4" s="146" t="s">
        <v>53</v>
      </c>
      <c r="Q4" s="146"/>
      <c r="R4" s="146"/>
      <c r="S4" s="146"/>
    </row>
    <row r="5" spans="2:20" ht="59.25" customHeight="1" x14ac:dyDescent="0.35">
      <c r="B5" s="144" t="s">
        <v>96</v>
      </c>
      <c r="C5" s="144" t="s">
        <v>97</v>
      </c>
      <c r="D5" s="106" t="s">
        <v>94</v>
      </c>
      <c r="E5" s="107">
        <f>F5</f>
        <v>0</v>
      </c>
      <c r="F5" s="76"/>
      <c r="G5" s="76"/>
      <c r="H5" s="76"/>
      <c r="I5" s="76"/>
      <c r="J5" s="108"/>
      <c r="K5" s="108"/>
      <c r="L5" s="108"/>
      <c r="M5" s="108"/>
      <c r="N5" s="108"/>
      <c r="O5" s="108"/>
      <c r="P5" s="131"/>
      <c r="Q5" s="131"/>
      <c r="R5" s="131"/>
      <c r="S5" s="131"/>
    </row>
    <row r="6" spans="2:20" ht="64.5" customHeight="1" x14ac:dyDescent="0.35">
      <c r="B6" s="145"/>
      <c r="C6" s="145"/>
      <c r="D6" s="106" t="s">
        <v>95</v>
      </c>
      <c r="E6" s="107">
        <f t="shared" ref="E6" si="0">F6</f>
        <v>0</v>
      </c>
      <c r="F6" s="76"/>
      <c r="G6" s="76"/>
      <c r="H6" s="76"/>
      <c r="I6" s="76"/>
      <c r="J6" s="109"/>
      <c r="K6" s="109"/>
      <c r="L6" s="109"/>
      <c r="M6" s="109"/>
      <c r="N6" s="109"/>
      <c r="O6" s="109"/>
      <c r="P6" s="131"/>
      <c r="Q6" s="131"/>
      <c r="R6" s="131"/>
      <c r="S6" s="131"/>
    </row>
    <row r="8" spans="2:20" x14ac:dyDescent="0.35">
      <c r="B8" s="122" t="s">
        <v>74</v>
      </c>
    </row>
    <row r="9" spans="2:20" x14ac:dyDescent="0.35">
      <c r="B9" s="16" t="s">
        <v>65</v>
      </c>
      <c r="C9" s="16" t="s">
        <v>50</v>
      </c>
      <c r="D9" s="16" t="s">
        <v>52</v>
      </c>
      <c r="E9" s="16" t="s">
        <v>51</v>
      </c>
    </row>
    <row r="10" spans="2:20" ht="31" x14ac:dyDescent="0.35">
      <c r="B10" s="106" t="s">
        <v>96</v>
      </c>
      <c r="C10" s="18" t="s">
        <v>77</v>
      </c>
      <c r="D10" s="72">
        <v>40</v>
      </c>
      <c r="E10" s="71" t="s">
        <v>104</v>
      </c>
    </row>
  </sheetData>
  <sheetProtection sheet="1" objects="1" scenarios="1" formatCells="0"/>
  <mergeCells count="4">
    <mergeCell ref="P4:S4"/>
    <mergeCell ref="B5:B6"/>
    <mergeCell ref="C5:C6"/>
    <mergeCell ref="B2:G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9873E-C062-41FA-9E20-3767D30DE6C2}">
  <sheetPr codeName="Sheet9"/>
  <dimension ref="B1:T11"/>
  <sheetViews>
    <sheetView showGridLines="0" zoomScale="80" zoomScaleNormal="80" workbookViewId="0"/>
  </sheetViews>
  <sheetFormatPr defaultRowHeight="14.5" x14ac:dyDescent="0.35"/>
  <cols>
    <col min="2" max="2" width="37.453125" bestFit="1" customWidth="1"/>
    <col min="3" max="3" width="52.7265625" bestFit="1" customWidth="1"/>
    <col min="4" max="4" width="21.1796875" bestFit="1" customWidth="1"/>
    <col min="5" max="5" width="15.26953125" customWidth="1"/>
    <col min="6" max="6" width="9.453125" bestFit="1" customWidth="1"/>
    <col min="7" max="7" width="16.26953125" customWidth="1"/>
    <col min="8" max="8" width="15.81640625" customWidth="1"/>
    <col min="9" max="9" width="17.1796875" customWidth="1"/>
    <col min="10" max="10" width="20.26953125" hidden="1" customWidth="1"/>
    <col min="11" max="11" width="9.81640625" hidden="1" customWidth="1"/>
    <col min="12" max="12" width="22.54296875" hidden="1" customWidth="1"/>
    <col min="13" max="13" width="9.81640625" hidden="1" customWidth="1"/>
    <col min="14" max="14" width="25.7265625" hidden="1" customWidth="1"/>
    <col min="15" max="15" width="9.81640625" hidden="1" customWidth="1"/>
    <col min="16" max="19" width="19.26953125" bestFit="1" customWidth="1"/>
  </cols>
  <sheetData>
    <row r="1" spans="2:20" ht="15" thickBot="1" x14ac:dyDescent="0.4">
      <c r="T1" s="11"/>
    </row>
    <row r="2" spans="2:20" ht="15" thickBot="1" x14ac:dyDescent="0.4">
      <c r="B2" s="137" t="s">
        <v>75</v>
      </c>
      <c r="C2" s="138"/>
      <c r="D2" s="138"/>
      <c r="E2" s="138"/>
      <c r="F2" s="138"/>
      <c r="G2" s="139"/>
    </row>
    <row r="4" spans="2:20" ht="29" customHeight="1" x14ac:dyDescent="0.35">
      <c r="B4" s="110" t="s">
        <v>37</v>
      </c>
      <c r="C4" s="104" t="s">
        <v>2</v>
      </c>
      <c r="D4" s="104" t="s">
        <v>98</v>
      </c>
      <c r="E4" s="4" t="s">
        <v>40</v>
      </c>
      <c r="F4" s="111" t="s">
        <v>7</v>
      </c>
      <c r="G4" s="12" t="s">
        <v>62</v>
      </c>
      <c r="H4" s="12" t="s">
        <v>63</v>
      </c>
      <c r="I4" s="12" t="s">
        <v>64</v>
      </c>
      <c r="J4" s="4" t="s">
        <v>41</v>
      </c>
      <c r="K4" s="4" t="s">
        <v>8</v>
      </c>
      <c r="L4" s="4" t="s">
        <v>42</v>
      </c>
      <c r="M4" s="4" t="s">
        <v>9</v>
      </c>
      <c r="N4" s="4" t="s">
        <v>43</v>
      </c>
      <c r="O4" s="4" t="s">
        <v>10</v>
      </c>
      <c r="P4" s="143" t="s">
        <v>53</v>
      </c>
      <c r="Q4" s="143"/>
      <c r="R4" s="143"/>
      <c r="S4" s="143"/>
    </row>
    <row r="5" spans="2:20" ht="29" customHeight="1" x14ac:dyDescent="0.35">
      <c r="B5" s="147" t="s">
        <v>99</v>
      </c>
      <c r="C5" s="150" t="s">
        <v>100</v>
      </c>
      <c r="D5" s="112" t="s">
        <v>108</v>
      </c>
      <c r="E5" s="113">
        <f>F5</f>
        <v>0</v>
      </c>
      <c r="F5" s="125"/>
      <c r="G5" s="125"/>
      <c r="H5" s="125"/>
      <c r="I5" s="125"/>
      <c r="J5" s="4"/>
      <c r="K5" s="4"/>
      <c r="L5" s="4"/>
      <c r="M5" s="4"/>
      <c r="N5" s="4"/>
      <c r="O5" s="4"/>
      <c r="P5" s="132"/>
      <c r="Q5" s="132"/>
      <c r="R5" s="132"/>
      <c r="S5" s="132"/>
    </row>
    <row r="6" spans="2:20" ht="36.75" customHeight="1" x14ac:dyDescent="0.35">
      <c r="B6" s="148"/>
      <c r="C6" s="151"/>
      <c r="D6" s="112" t="s">
        <v>101</v>
      </c>
      <c r="E6" s="113">
        <f>F6</f>
        <v>0</v>
      </c>
      <c r="F6" s="125"/>
      <c r="G6" s="125"/>
      <c r="H6" s="125"/>
      <c r="I6" s="125"/>
      <c r="J6" s="6"/>
      <c r="K6" s="6"/>
      <c r="L6" s="6"/>
      <c r="M6" s="6"/>
      <c r="N6" s="6"/>
      <c r="O6" s="6"/>
      <c r="P6" s="132"/>
      <c r="Q6" s="132"/>
      <c r="R6" s="132"/>
      <c r="S6" s="132"/>
    </row>
    <row r="7" spans="2:20" ht="31.5" customHeight="1" x14ac:dyDescent="0.35">
      <c r="B7" s="149"/>
      <c r="C7" s="152"/>
      <c r="D7" s="112" t="s">
        <v>102</v>
      </c>
      <c r="E7" s="113">
        <f t="shared" ref="E7" si="0">F7</f>
        <v>0</v>
      </c>
      <c r="F7" s="125"/>
      <c r="G7" s="125"/>
      <c r="H7" s="125"/>
      <c r="I7" s="125"/>
      <c r="J7" s="5"/>
      <c r="K7" s="5"/>
      <c r="L7" s="5"/>
      <c r="M7" s="5"/>
      <c r="N7" s="5"/>
      <c r="O7" s="5"/>
      <c r="P7" s="132"/>
      <c r="Q7" s="132"/>
      <c r="R7" s="132"/>
      <c r="S7" s="132"/>
    </row>
    <row r="9" spans="2:20" x14ac:dyDescent="0.35">
      <c r="B9" s="122" t="s">
        <v>74</v>
      </c>
    </row>
    <row r="10" spans="2:20" x14ac:dyDescent="0.35">
      <c r="B10" s="16" t="s">
        <v>65</v>
      </c>
      <c r="C10" s="16" t="s">
        <v>50</v>
      </c>
      <c r="D10" s="16" t="s">
        <v>52</v>
      </c>
      <c r="E10" s="16" t="s">
        <v>51</v>
      </c>
    </row>
    <row r="11" spans="2:20" ht="15.5" x14ac:dyDescent="0.35">
      <c r="B11" s="106" t="s">
        <v>105</v>
      </c>
      <c r="C11" s="18" t="s">
        <v>77</v>
      </c>
      <c r="D11" s="72">
        <v>40.53</v>
      </c>
      <c r="E11" s="116">
        <v>0.40529999999999999</v>
      </c>
    </row>
  </sheetData>
  <sheetProtection sheet="1" objects="1" scenarios="1" formatCells="0"/>
  <mergeCells count="4">
    <mergeCell ref="P4:S4"/>
    <mergeCell ref="B2:G2"/>
    <mergeCell ref="B5:B7"/>
    <mergeCell ref="C5:C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238261E73C88439BB98AF91E7C8BB9" ma:contentTypeVersion="12" ma:contentTypeDescription="Create a new document." ma:contentTypeScope="" ma:versionID="ce24275585ad6faa1994631f599f0ad0">
  <xsd:schema xmlns:xsd="http://www.w3.org/2001/XMLSchema" xmlns:xs="http://www.w3.org/2001/XMLSchema" xmlns:p="http://schemas.microsoft.com/office/2006/metadata/properties" xmlns:ns2="df96cac6-5edc-4d96-a14f-21dec8cebb64" xmlns:ns3="e6f9aa0a-a4db-4c69-b1fa-f7c559ce6762" targetNamespace="http://schemas.microsoft.com/office/2006/metadata/properties" ma:root="true" ma:fieldsID="e48c4e51891a7ad7a9848e84a11e2199" ns2:_="" ns3:_="">
    <xsd:import namespace="df96cac6-5edc-4d96-a14f-21dec8cebb64"/>
    <xsd:import namespace="e6f9aa0a-a4db-4c69-b1fa-f7c559ce676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96cac6-5edc-4d96-a14f-21dec8cebb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6f9aa0a-a4db-4c69-b1fa-f7c559ce676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0BE1F3-4048-40A3-B561-44CE91DCCFEF}"/>
</file>

<file path=customXml/itemProps2.xml><?xml version="1.0" encoding="utf-8"?>
<ds:datastoreItem xmlns:ds="http://schemas.openxmlformats.org/officeDocument/2006/customXml" ds:itemID="{6DEF9402-D700-490E-8358-C3FF57E73184}"/>
</file>

<file path=customXml/itemProps3.xml><?xml version="1.0" encoding="utf-8"?>
<ds:datastoreItem xmlns:ds="http://schemas.openxmlformats.org/officeDocument/2006/customXml" ds:itemID="{BCFC50EE-9528-4D64-BCC5-7B133C46B3C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 Me</vt:lpstr>
      <vt:lpstr>Intelligent Media Reach</vt:lpstr>
      <vt:lpstr>Perfect Store</vt:lpstr>
      <vt:lpstr>Margin to Invest</vt:lpstr>
      <vt:lpstr>Output Metrics</vt:lpstr>
      <vt:lpstr>Channel Reach</vt:lpstr>
      <vt:lpstr>Portfolio Reach</vt:lpstr>
      <vt:lpstr>Price Optimization</vt:lpstr>
      <vt:lpstr>Range Optimization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Mohit Dhamecha</dc:creator>
  <cp:lastModifiedBy>Sudhanshu Aggarwal</cp:lastModifiedBy>
  <dcterms:created xsi:type="dcterms:W3CDTF">2021-03-09T08:42:44Z</dcterms:created>
  <dcterms:modified xsi:type="dcterms:W3CDTF">2021-03-25T10:33:34Z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0x01010080238261E73C88439BB98AF91E7C8BB9</vt:lpwstr>
  </property>
</Properties>
</file>